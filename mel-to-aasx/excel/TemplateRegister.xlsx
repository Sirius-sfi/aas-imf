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schha3\git\github\Sirius-sfi\aas-imf\mel-to-aasx\excel\"/>
    </mc:Choice>
  </mc:AlternateContent>
  <xr:revisionPtr revIDLastSave="0" documentId="13_ncr:1_{5772B854-1D48-49F3-ADDB-A7E094EB1E50}" xr6:coauthVersionLast="46" xr6:coauthVersionMax="46" xr10:uidLastSave="{00000000-0000-0000-0000-000000000000}"/>
  <bookViews>
    <workbookView xWindow="-120" yWindow="-120" windowWidth="38640" windowHeight="21240" activeTab="1" xr2:uid="{4FD8448A-F906-4730-9353-250E56C1D12C}"/>
  </bookViews>
  <sheets>
    <sheet name="Templates" sheetId="1" r:id="rId1"/>
    <sheet name="Arguments" sheetId="2" r:id="rId2"/>
    <sheet name="Arguments (old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9" i="2" l="1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</calcChain>
</file>

<file path=xl/sharedStrings.xml><?xml version="1.0" encoding="utf-8"?>
<sst xmlns="http://schemas.openxmlformats.org/spreadsheetml/2006/main" count="894" uniqueCount="196">
  <si>
    <t>TemplateUri</t>
  </si>
  <si>
    <t>Tag_Number</t>
  </si>
  <si>
    <t>Tag_Status</t>
  </si>
  <si>
    <t>Discipline</t>
  </si>
  <si>
    <t>Cost_Code_COR</t>
  </si>
  <si>
    <t>Skid_Ref</t>
  </si>
  <si>
    <t>PO_Package_Number</t>
  </si>
  <si>
    <t>System_Number</t>
  </si>
  <si>
    <t>Equipment_Type_Description</t>
  </si>
  <si>
    <t>Area</t>
  </si>
  <si>
    <t>Sub_Area</t>
  </si>
  <si>
    <t>Function_Area</t>
  </si>
  <si>
    <t>NonBlank</t>
  </si>
  <si>
    <t>Optional</t>
  </si>
  <si>
    <t>Yes</t>
  </si>
  <si>
    <t>H2FilterCondition</t>
  </si>
  <si>
    <t>https://ottr.xyz/lib/eng/mel/MELTagNumber</t>
  </si>
  <si>
    <t>OTTR_Parameters</t>
  </si>
  <si>
    <t>Template_Uri</t>
  </si>
  <si>
    <t>Argument_Index</t>
  </si>
  <si>
    <t>OTTR_Type</t>
  </si>
  <si>
    <t>Namespace</t>
  </si>
  <si>
    <t>Local_Name_Prefix</t>
  </si>
  <si>
    <t>Space_To_Underscore</t>
  </si>
  <si>
    <t>CSV_Parameters</t>
  </si>
  <si>
    <t>http://data.aibel.com/asset/equinor/AskjaUPP/</t>
  </si>
  <si>
    <t>ottr:IRI</t>
  </si>
  <si>
    <t>Trim</t>
  </si>
  <si>
    <t>?tag_number_entity</t>
  </si>
  <si>
    <t>?tag_number</t>
  </si>
  <si>
    <t>?tag_status</t>
  </si>
  <si>
    <t>?discipline</t>
  </si>
  <si>
    <t>?cost_code_cor</t>
  </si>
  <si>
    <t>?skid_ref</t>
  </si>
  <si>
    <t>?po_package_number</t>
  </si>
  <si>
    <t>?system_number</t>
  </si>
  <si>
    <t>?equipment_type_description</t>
  </si>
  <si>
    <t>?area</t>
  </si>
  <si>
    <t>?sub_area</t>
  </si>
  <si>
    <t>?function_area</t>
  </si>
  <si>
    <t>http://data.aibel.com/ontology/mel/</t>
  </si>
  <si>
    <t>TagStatus_</t>
  </si>
  <si>
    <t>Discipline_</t>
  </si>
  <si>
    <t>xsd:string</t>
  </si>
  <si>
    <t>System_</t>
  </si>
  <si>
    <t>Area_</t>
  </si>
  <si>
    <t>SubArea_</t>
  </si>
  <si>
    <t>FunctionArea_</t>
  </si>
  <si>
    <t>https://ottr.xyz/lib/eng/mel/TagNumberEntity</t>
  </si>
  <si>
    <t>Variable_Name</t>
  </si>
  <si>
    <t>Column_Name</t>
  </si>
  <si>
    <t>Column_Alias</t>
  </si>
  <si>
    <t>Tag_Number_Entity</t>
  </si>
  <si>
    <t>Regexp_Expr</t>
  </si>
  <si>
    <t>Regexp_Replacement</t>
  </si>
  <si>
    <t>Regexp_Flags</t>
  </si>
  <si>
    <t>\\.0</t>
  </si>
  <si>
    <t>\\.</t>
  </si>
  <si>
    <t>https://ottr.xyz/lib/eng/mel/TopTag</t>
  </si>
  <si>
    <t>xsd:boolean</t>
  </si>
  <si>
    <t>?is_top_tag</t>
  </si>
  <si>
    <t>Top_Tag</t>
  </si>
  <si>
    <t>InstanceMap_Uri</t>
  </si>
  <si>
    <t>bs:TagNumberEntity</t>
  </si>
  <si>
    <t>bs:TopTagTrue</t>
  </si>
  <si>
    <t>bs:TopTagFalse</t>
  </si>
  <si>
    <t>(#COLUMN_NAME is null or #COLUMN_NAME != 'YES')</t>
  </si>
  <si>
    <t>#COLUMN_NAME = 'YES'</t>
  </si>
  <si>
    <t>bs:Discipline</t>
  </si>
  <si>
    <t>https://ottr.xyz/lib/eng/mel/Discipline</t>
  </si>
  <si>
    <t>?discipline_entity</t>
  </si>
  <si>
    <t>?discipline_code</t>
  </si>
  <si>
    <t>No</t>
  </si>
  <si>
    <t>Discipline_Entity</t>
  </si>
  <si>
    <t>Discipline_Code</t>
  </si>
  <si>
    <t>Value_Expression</t>
  </si>
  <si>
    <t>Select_Distinct</t>
  </si>
  <si>
    <t>('true')</t>
  </si>
  <si>
    <t>('false')</t>
  </si>
  <si>
    <t>?rdfs_label</t>
  </si>
  <si>
    <t>Rdfs_Label</t>
  </si>
  <si>
    <t>CONCAT('Discipline ', #COLUMN_NAME)</t>
  </si>
  <si>
    <t>bs:Area</t>
  </si>
  <si>
    <t>https://ottr.xyz/lib/eng/mel/Area</t>
  </si>
  <si>
    <t>?area_entity</t>
  </si>
  <si>
    <t>Area_Entity</t>
  </si>
  <si>
    <t>Sub_Area_Entity</t>
  </si>
  <si>
    <t>Function_Area_Entity</t>
  </si>
  <si>
    <t>Area_Code</t>
  </si>
  <si>
    <t>CONCAT('Area ', #COLUMN_NAME)</t>
  </si>
  <si>
    <t>?area_code</t>
  </si>
  <si>
    <t>bs:SubArea</t>
  </si>
  <si>
    <t>https://ottr.xyz/lib/eng/mel/SubArea</t>
  </si>
  <si>
    <t>?sub_area_code</t>
  </si>
  <si>
    <t>Sub_Area_Code</t>
  </si>
  <si>
    <t>bs:FunctionArea</t>
  </si>
  <si>
    <t>https://ottr.xyz/lib/eng/mel/FunctionArea</t>
  </si>
  <si>
    <t>?function_area_code</t>
  </si>
  <si>
    <t>Function_Area_Code</t>
  </si>
  <si>
    <t>CONCAT('Sub Area ', #COLUMN_NAME)</t>
  </si>
  <si>
    <t>CONCAT('Function Area ', #COLUMN_NAME)</t>
  </si>
  <si>
    <t>bs:AreaHasPartSubArea</t>
  </si>
  <si>
    <t>https://ottr.xyz/lib/eng/mel/HasPart</t>
  </si>
  <si>
    <t>bs:MelRow</t>
  </si>
  <si>
    <t>https://ottr.xyz/lib/eng/mel/MelRow</t>
  </si>
  <si>
    <t>?skid_ref_entity</t>
  </si>
  <si>
    <t>?building_block</t>
  </si>
  <si>
    <t>Building_Block</t>
  </si>
  <si>
    <t>?top_tag</t>
  </si>
  <si>
    <t>Equinor_Equipment_Category_1_4</t>
  </si>
  <si>
    <t>?equinor_equipment_category_1_4</t>
  </si>
  <si>
    <t>Skid_Ref_Entity</t>
  </si>
  <si>
    <t>L_or_TT_mm</t>
  </si>
  <si>
    <t>W_or_ID_mm</t>
  </si>
  <si>
    <t>H_or_TT_mm</t>
  </si>
  <si>
    <t>Footprint_m2</t>
  </si>
  <si>
    <t>Modification_Phase_Code</t>
  </si>
  <si>
    <t>Modification_Construction_Code</t>
  </si>
  <si>
    <t>Modification_Handling_Code</t>
  </si>
  <si>
    <t>Allowance_pct</t>
  </si>
  <si>
    <t>Net_Dry_Weight_kg</t>
  </si>
  <si>
    <t>Gross_Dry_Weight_kg</t>
  </si>
  <si>
    <t>Content_Weight_kg</t>
  </si>
  <si>
    <t>Dry_CoG_East_mm</t>
  </si>
  <si>
    <t>Dry_CoG_North_mm</t>
  </si>
  <si>
    <t>Dry_CoG_Elevation_mm</t>
  </si>
  <si>
    <t>Price_Source</t>
  </si>
  <si>
    <t>Cost_Proj_currency</t>
  </si>
  <si>
    <t>Cost_Date</t>
  </si>
  <si>
    <t>Exch_rate</t>
  </si>
  <si>
    <t>NOK</t>
  </si>
  <si>
    <t>Pressure_1_barg</t>
  </si>
  <si>
    <t>Pressure_2_barg</t>
  </si>
  <si>
    <t>Temp_1_degC</t>
  </si>
  <si>
    <t>Temp_2_degC</t>
  </si>
  <si>
    <t>Flow_rate_1_m3_per_hr</t>
  </si>
  <si>
    <t>Flow_rate_2_m3_per_hr</t>
  </si>
  <si>
    <t>Capacity_m3</t>
  </si>
  <si>
    <t>Heat_transfer_medium_type</t>
  </si>
  <si>
    <t>Speed_RPM</t>
  </si>
  <si>
    <t>Heat_Exchanged_per_Unit_kW</t>
  </si>
  <si>
    <t>Shaft_Power_kW</t>
  </si>
  <si>
    <t>Rated_Power_kW</t>
  </si>
  <si>
    <t>Heat_Transfer_Surface_Area_m2</t>
  </si>
  <si>
    <t>Material_1</t>
  </si>
  <si>
    <t>Material_2</t>
  </si>
  <si>
    <t>Reference_or_Source</t>
  </si>
  <si>
    <t>Reference_doc_dwg_PID_etc</t>
  </si>
  <si>
    <t>Risk_Weight_accuracy</t>
  </si>
  <si>
    <t>Risk_Footprint_accuracy</t>
  </si>
  <si>
    <t>Risk_Design_basis</t>
  </si>
  <si>
    <t>Risk_comments</t>
  </si>
  <si>
    <t>Remarks</t>
  </si>
  <si>
    <t>?l_or_tt_mm</t>
  </si>
  <si>
    <t>?w_or_id_mm</t>
  </si>
  <si>
    <t>?h_or_tt_mm</t>
  </si>
  <si>
    <t>?footprint_m2</t>
  </si>
  <si>
    <t>?modification_phase_code</t>
  </si>
  <si>
    <t>?modification_cunstruction_code</t>
  </si>
  <si>
    <t>?modification_handling_code</t>
  </si>
  <si>
    <t>?allowance_pct</t>
  </si>
  <si>
    <t>?net_dry_weight_kg</t>
  </si>
  <si>
    <t>?gross_dry_weight_kg</t>
  </si>
  <si>
    <t>?content_weight_kg</t>
  </si>
  <si>
    <t>?dry_cog_east_mm</t>
  </si>
  <si>
    <t>?dry_cog_north_mm</t>
  </si>
  <si>
    <t>?dry_cog_elevation_mm</t>
  </si>
  <si>
    <t>?price_source</t>
  </si>
  <si>
    <t>?cost_proj_currency</t>
  </si>
  <si>
    <t>?cost_date</t>
  </si>
  <si>
    <t>?exch_rate</t>
  </si>
  <si>
    <t>?nok</t>
  </si>
  <si>
    <t>?pressure_1_barg</t>
  </si>
  <si>
    <t>?pressure_2_barg</t>
  </si>
  <si>
    <t>?temp_1_degc</t>
  </si>
  <si>
    <t>?temp_2_degc</t>
  </si>
  <si>
    <t>?flow_rate_1_m3_per_hr</t>
  </si>
  <si>
    <t>?flow_rate_2_m3_per_hr</t>
  </si>
  <si>
    <t>?capacity_m3</t>
  </si>
  <si>
    <t>?heat_transfer_medium_type</t>
  </si>
  <si>
    <t>?speed_rpm</t>
  </si>
  <si>
    <t>?heat_exchanged_per_unit_kw</t>
  </si>
  <si>
    <t>?shaft_power_kw</t>
  </si>
  <si>
    <t>?rated_power_kw</t>
  </si>
  <si>
    <t>?heat_transfer_surface_area_m2</t>
  </si>
  <si>
    <t>?material_1</t>
  </si>
  <si>
    <t>?material_2</t>
  </si>
  <si>
    <t>?reference_or_source</t>
  </si>
  <si>
    <t>?reference_doc_dwg_pid_etc</t>
  </si>
  <si>
    <t>?risk_weight_accuracy</t>
  </si>
  <si>
    <t>?risk_footprint_accuracy</t>
  </si>
  <si>
    <t>?risk_design_basis</t>
  </si>
  <si>
    <t>?risk_comments</t>
  </si>
  <si>
    <t>?remarks</t>
  </si>
  <si>
    <t>/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</si>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</sst>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/>
    <xf numFmtId="0" fontId="1" fillId="2" borderId="0" xfId="0" applyFont="1" applyFill="1"/>
    <xf numFmtId="0" fontId="1" fillId="3" borderId="0" xfId="0" applyFont="1" applyFill="1"/>
    <xf numFmtId="49" fontId="0" fillId="0" borderId="0" xfId="0" applyNumberFormat="1"/>
    <xf numFmtId="0" fontId="0" fillId="4" borderId="0" xfId="0" applyFill="1"/>
    <xf numFmtId="0" fontId="1" fillId="4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\\." TargetMode="External"/><Relationship Id="rId2" Type="http://schemas.openxmlformats.org/officeDocument/2006/relationships/hyperlink" Target="file:///\\.0" TargetMode="External"/><Relationship Id="rId1" Type="http://schemas.openxmlformats.org/officeDocument/2006/relationships/hyperlink" Target="https://ottr.xyz/lib/eng/mel/MelRow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ttr.xyz/lib/eng/mel/TopTag" TargetMode="External"/><Relationship Id="rId13" Type="http://schemas.openxmlformats.org/officeDocument/2006/relationships/hyperlink" Target="https://ottr.xyz/lib/eng/mel/Discipline" TargetMode="External"/><Relationship Id="rId18" Type="http://schemas.openxmlformats.org/officeDocument/2006/relationships/hyperlink" Target="https://ottr.xyz/lib/eng/mel/SubArea" TargetMode="External"/><Relationship Id="rId26" Type="http://schemas.openxmlformats.org/officeDocument/2006/relationships/hyperlink" Target="https://ottr.xyz/lib/eng/mel/HasPart" TargetMode="External"/><Relationship Id="rId3" Type="http://schemas.openxmlformats.org/officeDocument/2006/relationships/hyperlink" Target="https://ottr.xyz/lib/eng/mel/TagNumberEntity" TargetMode="External"/><Relationship Id="rId21" Type="http://schemas.openxmlformats.org/officeDocument/2006/relationships/hyperlink" Target="https://ottr.xyz/lib/eng/mel/FunctionArea" TargetMode="External"/><Relationship Id="rId7" Type="http://schemas.openxmlformats.org/officeDocument/2006/relationships/hyperlink" Target="https://ottr.xyz/lib/eng/mel/TopTag" TargetMode="External"/><Relationship Id="rId12" Type="http://schemas.openxmlformats.org/officeDocument/2006/relationships/hyperlink" Target="http://data.aibel.com/ontology/mel/" TargetMode="External"/><Relationship Id="rId17" Type="http://schemas.openxmlformats.org/officeDocument/2006/relationships/hyperlink" Target="https://ottr.xyz/lib/eng/mel/Area" TargetMode="External"/><Relationship Id="rId25" Type="http://schemas.openxmlformats.org/officeDocument/2006/relationships/hyperlink" Target="https://ottr.xyz/lib/eng/mel/HasPart" TargetMode="External"/><Relationship Id="rId2" Type="http://schemas.openxmlformats.org/officeDocument/2006/relationships/hyperlink" Target="https://ottr.xyz/lib/eng/mel/TagNumberEntity" TargetMode="External"/><Relationship Id="rId16" Type="http://schemas.openxmlformats.org/officeDocument/2006/relationships/hyperlink" Target="https://ottr.xyz/lib/eng/mel/Area" TargetMode="External"/><Relationship Id="rId20" Type="http://schemas.openxmlformats.org/officeDocument/2006/relationships/hyperlink" Target="https://ottr.xyz/lib/eng/mel/SubArea" TargetMode="External"/><Relationship Id="rId1" Type="http://schemas.openxmlformats.org/officeDocument/2006/relationships/hyperlink" Target="http://data.aibel.com/ontology/mel/" TargetMode="External"/><Relationship Id="rId6" Type="http://schemas.openxmlformats.org/officeDocument/2006/relationships/hyperlink" Target="file:///\\." TargetMode="External"/><Relationship Id="rId11" Type="http://schemas.openxmlformats.org/officeDocument/2006/relationships/hyperlink" Target="https://ottr.xyz/lib/eng/mel/Discipline" TargetMode="External"/><Relationship Id="rId24" Type="http://schemas.openxmlformats.org/officeDocument/2006/relationships/hyperlink" Target="file:///\\." TargetMode="External"/><Relationship Id="rId5" Type="http://schemas.openxmlformats.org/officeDocument/2006/relationships/hyperlink" Target="file:///\\.0" TargetMode="External"/><Relationship Id="rId15" Type="http://schemas.openxmlformats.org/officeDocument/2006/relationships/hyperlink" Target="https://ottr.xyz/lib/eng/mel/Area" TargetMode="External"/><Relationship Id="rId23" Type="http://schemas.openxmlformats.org/officeDocument/2006/relationships/hyperlink" Target="https://ottr.xyz/lib/eng/mel/FunctionArea" TargetMode="External"/><Relationship Id="rId10" Type="http://schemas.openxmlformats.org/officeDocument/2006/relationships/hyperlink" Target="https://ottr.xyz/lib/eng/mel/TopTag" TargetMode="External"/><Relationship Id="rId19" Type="http://schemas.openxmlformats.org/officeDocument/2006/relationships/hyperlink" Target="https://ottr.xyz/lib/eng/mel/SubArea" TargetMode="External"/><Relationship Id="rId4" Type="http://schemas.openxmlformats.org/officeDocument/2006/relationships/hyperlink" Target="https://ottr.xyz/lib/eng/mel/TagNumberEntity" TargetMode="External"/><Relationship Id="rId9" Type="http://schemas.openxmlformats.org/officeDocument/2006/relationships/hyperlink" Target="https://ottr.xyz/lib/eng/mel/TopTag" TargetMode="External"/><Relationship Id="rId14" Type="http://schemas.openxmlformats.org/officeDocument/2006/relationships/hyperlink" Target="https://ottr.xyz/lib/eng/mel/Discipline" TargetMode="External"/><Relationship Id="rId22" Type="http://schemas.openxmlformats.org/officeDocument/2006/relationships/hyperlink" Target="https://ottr.xyz/lib/eng/mel/FunctionArea" TargetMode="External"/><Relationship Id="rId27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20C7-2439-45D4-A703-59450D41B5BF}">
  <dimension ref="A1:A2"/>
  <sheetViews>
    <sheetView workbookViewId="0">
      <selection activeCell="A2" sqref="A2"/>
    </sheetView>
  </sheetViews>
  <sheetFormatPr defaultRowHeight="15" x14ac:dyDescent="0.25"/>
  <cols>
    <col min="1" max="1" width="41.85546875" bestFit="1" customWidth="1"/>
  </cols>
  <sheetData>
    <row r="1" spans="1:1" x14ac:dyDescent="0.25">
      <c r="A1" s="1" t="s">
        <v>0</v>
      </c>
    </row>
    <row r="2" spans="1:1" x14ac:dyDescent="0.25">
      <c r="A2" t="s">
        <v>16</v>
      </c>
    </row>
  </sheetData>
  <pageMargins left="0.7" right="0.7" top="0.75" bottom="0.75" header="0.3" footer="0.3"/>
  <pageSetup paperSize="9" orientation="portrait" horizontalDpi="360" verticalDpi="360" r:id="rId1"/>
  <headerFooter>
    <oddFooter>&amp;L&amp;1#&amp;"Calibri"&amp;10&amp;K000000Sensitivity: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2F1A-88B1-4679-8432-2B24126FAEC8}">
  <dimension ref="A1:T59"/>
  <sheetViews>
    <sheetView tabSelected="1" topLeftCell="J1" workbookViewId="0">
      <selection activeCell="T59" sqref="T5:T59"/>
    </sheetView>
  </sheetViews>
  <sheetFormatPr defaultRowHeight="15" x14ac:dyDescent="0.25"/>
  <cols>
    <col min="1" max="1" width="16.28515625" bestFit="1" customWidth="1"/>
    <col min="2" max="2" width="35.140625" bestFit="1" customWidth="1"/>
    <col min="3" max="3" width="16" bestFit="1" customWidth="1"/>
    <col min="4" max="4" width="10.85546875" bestFit="1" customWidth="1"/>
    <col min="5" max="5" width="33.140625" bestFit="1" customWidth="1"/>
    <col min="6" max="6" width="9.5703125" bestFit="1" customWidth="1"/>
    <col min="7" max="7" width="8.7109375" bestFit="1" customWidth="1"/>
    <col min="8" max="8" width="14.28515625" bestFit="1" customWidth="1"/>
    <col min="9" max="9" width="32.140625" bestFit="1" customWidth="1"/>
    <col min="10" max="10" width="18.7109375" bestFit="1" customWidth="1"/>
    <col min="11" max="11" width="16.85546875" bestFit="1" customWidth="1"/>
    <col min="12" max="12" width="44.5703125" bestFit="1" customWidth="1"/>
    <col min="13" max="13" width="18.28515625" bestFit="1" customWidth="1"/>
    <col min="14" max="14" width="5" bestFit="1" customWidth="1"/>
    <col min="15" max="15" width="20.85546875" customWidth="1"/>
    <col min="16" max="16" width="16.85546875" bestFit="1" customWidth="1"/>
    <col min="17" max="17" width="12.140625" customWidth="1"/>
    <col min="18" max="18" width="20.5703125" bestFit="1" customWidth="1"/>
    <col min="19" max="19" width="13.140625" bestFit="1" customWidth="1"/>
  </cols>
  <sheetData>
    <row r="1" spans="1:20" x14ac:dyDescent="0.25">
      <c r="A1" s="6"/>
      <c r="B1" s="8" t="s">
        <v>17</v>
      </c>
      <c r="C1" s="8"/>
      <c r="D1" s="8"/>
      <c r="E1" s="8"/>
      <c r="F1" s="8"/>
      <c r="G1" s="8"/>
      <c r="H1" s="9" t="s">
        <v>24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20" x14ac:dyDescent="0.25">
      <c r="A2" s="7" t="s">
        <v>62</v>
      </c>
      <c r="B2" s="3" t="s">
        <v>18</v>
      </c>
      <c r="C2" s="3" t="s">
        <v>19</v>
      </c>
      <c r="D2" s="3" t="s">
        <v>20</v>
      </c>
      <c r="E2" s="3" t="s">
        <v>49</v>
      </c>
      <c r="F2" s="3" t="s">
        <v>12</v>
      </c>
      <c r="G2" s="3" t="s">
        <v>13</v>
      </c>
      <c r="H2" s="4" t="s">
        <v>76</v>
      </c>
      <c r="I2" s="4" t="s">
        <v>50</v>
      </c>
      <c r="J2" s="4" t="s">
        <v>51</v>
      </c>
      <c r="K2" s="4" t="s">
        <v>75</v>
      </c>
      <c r="L2" s="4" t="s">
        <v>21</v>
      </c>
      <c r="M2" s="4" t="s">
        <v>22</v>
      </c>
      <c r="N2" s="4" t="s">
        <v>27</v>
      </c>
      <c r="O2" s="4" t="s">
        <v>23</v>
      </c>
      <c r="P2" s="4" t="s">
        <v>15</v>
      </c>
      <c r="Q2" s="4" t="s">
        <v>53</v>
      </c>
      <c r="R2" s="4" t="s">
        <v>54</v>
      </c>
      <c r="S2" s="4" t="s">
        <v>55</v>
      </c>
    </row>
    <row r="3" spans="1:20" x14ac:dyDescent="0.25">
      <c r="A3" t="s">
        <v>103</v>
      </c>
      <c r="B3" s="2" t="s">
        <v>104</v>
      </c>
      <c r="C3">
        <v>0</v>
      </c>
      <c r="D3" t="s">
        <v>26</v>
      </c>
      <c r="E3" t="s">
        <v>28</v>
      </c>
      <c r="F3" t="s">
        <v>14</v>
      </c>
      <c r="H3" t="s">
        <v>72</v>
      </c>
      <c r="I3" t="s">
        <v>1</v>
      </c>
      <c r="J3" t="s">
        <v>52</v>
      </c>
      <c r="L3" t="s">
        <v>25</v>
      </c>
      <c r="N3" t="s">
        <v>14</v>
      </c>
      <c r="O3" t="s">
        <v>14</v>
      </c>
      <c r="Q3" t="s">
        <v>194</v>
      </c>
      <c r="R3" t="s">
        <v>195</v>
      </c>
    </row>
    <row r="4" spans="1:20" x14ac:dyDescent="0.25">
      <c r="A4" t="s">
        <v>103</v>
      </c>
      <c r="B4" s="2" t="s">
        <v>104</v>
      </c>
      <c r="C4">
        <v>1</v>
      </c>
      <c r="D4" t="s">
        <v>26</v>
      </c>
      <c r="E4" t="s">
        <v>105</v>
      </c>
      <c r="F4" t="s">
        <v>14</v>
      </c>
      <c r="G4" t="s">
        <v>14</v>
      </c>
      <c r="H4" t="s">
        <v>72</v>
      </c>
      <c r="I4" t="s">
        <v>5</v>
      </c>
      <c r="J4" t="s">
        <v>111</v>
      </c>
      <c r="L4" t="s">
        <v>25</v>
      </c>
      <c r="N4" t="s">
        <v>14</v>
      </c>
      <c r="O4" t="s">
        <v>14</v>
      </c>
      <c r="Q4" t="s">
        <v>194</v>
      </c>
      <c r="R4" t="s">
        <v>195</v>
      </c>
    </row>
    <row r="5" spans="1:20" x14ac:dyDescent="0.25">
      <c r="A5" t="s">
        <v>103</v>
      </c>
      <c r="B5" s="2" t="s">
        <v>104</v>
      </c>
      <c r="C5">
        <v>2</v>
      </c>
      <c r="D5" t="s">
        <v>43</v>
      </c>
      <c r="E5" t="s">
        <v>30</v>
      </c>
      <c r="G5" t="s">
        <v>14</v>
      </c>
      <c r="H5" t="s">
        <v>72</v>
      </c>
      <c r="I5" t="s">
        <v>2</v>
      </c>
      <c r="N5" t="s">
        <v>72</v>
      </c>
      <c r="O5" t="s">
        <v>72</v>
      </c>
      <c r="T5" t="str">
        <f>CONCATENATE("tpl:MelColumn(?tag_number_entity, mel:",I5,", ",E5,"), tpl:MelColumnDef(mel:",I5,", ", C3,"),")</f>
        <v>tpl:MelColumn(?tag_number_entity, mel:Tag_Status, ?tag_status), tpl:MelColumnDef(mel:Tag_Status, 0),</v>
      </c>
    </row>
    <row r="6" spans="1:20" x14ac:dyDescent="0.25">
      <c r="A6" t="s">
        <v>103</v>
      </c>
      <c r="B6" s="2" t="s">
        <v>104</v>
      </c>
      <c r="C6">
        <v>3</v>
      </c>
      <c r="D6" t="s">
        <v>43</v>
      </c>
      <c r="E6" t="s">
        <v>106</v>
      </c>
      <c r="G6" t="s">
        <v>14</v>
      </c>
      <c r="H6" t="s">
        <v>72</v>
      </c>
      <c r="I6" t="s">
        <v>107</v>
      </c>
      <c r="N6" t="s">
        <v>72</v>
      </c>
      <c r="O6" t="s">
        <v>72</v>
      </c>
      <c r="T6" t="str">
        <f t="shared" ref="T6:T59" si="0">CONCATENATE("tpl:MelColumn(?tag_number_entity, mel:",I6,", ",E6,"), tpl:MelColumnDef(mel:",I6,", ", C4,"),")</f>
        <v>tpl:MelColumn(?tag_number_entity, mel:Building_Block, ?building_block), tpl:MelColumnDef(mel:Building_Block, 1),</v>
      </c>
    </row>
    <row r="7" spans="1:20" x14ac:dyDescent="0.25">
      <c r="A7" t="s">
        <v>103</v>
      </c>
      <c r="B7" s="2" t="s">
        <v>104</v>
      </c>
      <c r="C7">
        <v>4</v>
      </c>
      <c r="D7" t="s">
        <v>43</v>
      </c>
      <c r="E7" t="s">
        <v>31</v>
      </c>
      <c r="G7" t="s">
        <v>14</v>
      </c>
      <c r="H7" t="s">
        <v>72</v>
      </c>
      <c r="I7" t="s">
        <v>3</v>
      </c>
      <c r="N7" t="s">
        <v>72</v>
      </c>
      <c r="O7" t="s">
        <v>72</v>
      </c>
      <c r="T7" t="str">
        <f t="shared" si="0"/>
        <v>tpl:MelColumn(?tag_number_entity, mel:Discipline, ?discipline), tpl:MelColumnDef(mel:Discipline, 2),</v>
      </c>
    </row>
    <row r="8" spans="1:20" x14ac:dyDescent="0.25">
      <c r="A8" t="s">
        <v>103</v>
      </c>
      <c r="B8" s="2" t="s">
        <v>104</v>
      </c>
      <c r="C8">
        <v>5</v>
      </c>
      <c r="D8" t="s">
        <v>43</v>
      </c>
      <c r="E8" t="s">
        <v>32</v>
      </c>
      <c r="G8" t="s">
        <v>14</v>
      </c>
      <c r="H8" t="s">
        <v>72</v>
      </c>
      <c r="I8" t="s">
        <v>4</v>
      </c>
      <c r="N8" t="s">
        <v>72</v>
      </c>
      <c r="O8" t="s">
        <v>72</v>
      </c>
      <c r="T8" t="str">
        <f t="shared" si="0"/>
        <v>tpl:MelColumn(?tag_number_entity, mel:Cost_Code_COR, ?cost_code_cor), tpl:MelColumnDef(mel:Cost_Code_COR, 3),</v>
      </c>
    </row>
    <row r="9" spans="1:20" x14ac:dyDescent="0.25">
      <c r="A9" t="s">
        <v>103</v>
      </c>
      <c r="B9" s="2" t="s">
        <v>104</v>
      </c>
      <c r="C9">
        <v>6</v>
      </c>
      <c r="D9" t="s">
        <v>43</v>
      </c>
      <c r="E9" t="s">
        <v>29</v>
      </c>
      <c r="G9" t="s">
        <v>14</v>
      </c>
      <c r="H9" t="s">
        <v>72</v>
      </c>
      <c r="I9" t="s">
        <v>1</v>
      </c>
      <c r="N9" t="s">
        <v>72</v>
      </c>
      <c r="O9" t="s">
        <v>72</v>
      </c>
      <c r="T9" t="str">
        <f t="shared" si="0"/>
        <v>tpl:MelColumn(?tag_number_entity, mel:Tag_Number, ?tag_number), tpl:MelColumnDef(mel:Tag_Number, 4),</v>
      </c>
    </row>
    <row r="10" spans="1:20" x14ac:dyDescent="0.25">
      <c r="A10" t="s">
        <v>103</v>
      </c>
      <c r="B10" s="2" t="s">
        <v>104</v>
      </c>
      <c r="C10">
        <v>7</v>
      </c>
      <c r="D10" t="s">
        <v>43</v>
      </c>
      <c r="E10" t="s">
        <v>108</v>
      </c>
      <c r="G10" t="s">
        <v>14</v>
      </c>
      <c r="H10" t="s">
        <v>72</v>
      </c>
      <c r="I10" t="s">
        <v>61</v>
      </c>
      <c r="N10" t="s">
        <v>72</v>
      </c>
      <c r="O10" t="s">
        <v>72</v>
      </c>
      <c r="T10" t="str">
        <f t="shared" si="0"/>
        <v>tpl:MelColumn(?tag_number_entity, mel:Top_Tag, ?top_tag), tpl:MelColumnDef(mel:Top_Tag, 5),</v>
      </c>
    </row>
    <row r="11" spans="1:20" x14ac:dyDescent="0.25">
      <c r="A11" t="s">
        <v>103</v>
      </c>
      <c r="B11" s="2" t="s">
        <v>104</v>
      </c>
      <c r="C11">
        <v>8</v>
      </c>
      <c r="D11" t="s">
        <v>43</v>
      </c>
      <c r="E11" t="s">
        <v>33</v>
      </c>
      <c r="G11" t="s">
        <v>14</v>
      </c>
      <c r="H11" t="s">
        <v>72</v>
      </c>
      <c r="I11" t="s">
        <v>5</v>
      </c>
      <c r="N11" t="s">
        <v>72</v>
      </c>
      <c r="O11" t="s">
        <v>72</v>
      </c>
      <c r="T11" t="str">
        <f t="shared" si="0"/>
        <v>tpl:MelColumn(?tag_number_entity, mel:Skid_Ref, ?skid_ref), tpl:MelColumnDef(mel:Skid_Ref, 6),</v>
      </c>
    </row>
    <row r="12" spans="1:20" x14ac:dyDescent="0.25">
      <c r="A12" t="s">
        <v>103</v>
      </c>
      <c r="B12" s="2" t="s">
        <v>104</v>
      </c>
      <c r="C12">
        <v>9</v>
      </c>
      <c r="D12" t="s">
        <v>43</v>
      </c>
      <c r="E12" t="s">
        <v>34</v>
      </c>
      <c r="G12" t="s">
        <v>14</v>
      </c>
      <c r="H12" t="s">
        <v>72</v>
      </c>
      <c r="I12" t="s">
        <v>6</v>
      </c>
      <c r="N12" t="s">
        <v>72</v>
      </c>
      <c r="O12" t="s">
        <v>72</v>
      </c>
      <c r="T12" t="str">
        <f t="shared" si="0"/>
        <v>tpl:MelColumn(?tag_number_entity, mel:PO_Package_Number, ?po_package_number), tpl:MelColumnDef(mel:PO_Package_Number, 7),</v>
      </c>
    </row>
    <row r="13" spans="1:20" x14ac:dyDescent="0.25">
      <c r="A13" t="s">
        <v>103</v>
      </c>
      <c r="B13" s="2" t="s">
        <v>104</v>
      </c>
      <c r="C13">
        <v>10</v>
      </c>
      <c r="D13" t="s">
        <v>43</v>
      </c>
      <c r="E13" t="s">
        <v>35</v>
      </c>
      <c r="G13" t="s">
        <v>14</v>
      </c>
      <c r="H13" t="s">
        <v>72</v>
      </c>
      <c r="I13" t="s">
        <v>7</v>
      </c>
      <c r="N13" t="s">
        <v>72</v>
      </c>
      <c r="O13" t="s">
        <v>72</v>
      </c>
      <c r="Q13" s="2" t="s">
        <v>56</v>
      </c>
      <c r="T13" t="str">
        <f t="shared" si="0"/>
        <v>tpl:MelColumn(?tag_number_entity, mel:System_Number, ?system_number), tpl:MelColumnDef(mel:System_Number, 8),</v>
      </c>
    </row>
    <row r="14" spans="1:20" x14ac:dyDescent="0.25">
      <c r="A14" t="s">
        <v>103</v>
      </c>
      <c r="B14" s="2" t="s">
        <v>104</v>
      </c>
      <c r="C14">
        <v>11</v>
      </c>
      <c r="D14" t="s">
        <v>43</v>
      </c>
      <c r="E14" t="s">
        <v>110</v>
      </c>
      <c r="G14" t="s">
        <v>14</v>
      </c>
      <c r="H14" t="s">
        <v>72</v>
      </c>
      <c r="I14" t="s">
        <v>109</v>
      </c>
      <c r="N14" t="s">
        <v>72</v>
      </c>
      <c r="O14" t="s">
        <v>72</v>
      </c>
      <c r="T14" t="str">
        <f t="shared" si="0"/>
        <v>tpl:MelColumn(?tag_number_entity, mel:Equinor_Equipment_Category_1_4, ?equinor_equipment_category_1_4), tpl:MelColumnDef(mel:Equinor_Equipment_Category_1_4, 9),</v>
      </c>
    </row>
    <row r="15" spans="1:20" x14ac:dyDescent="0.25">
      <c r="A15" t="s">
        <v>103</v>
      </c>
      <c r="B15" s="2" t="s">
        <v>104</v>
      </c>
      <c r="C15">
        <v>12</v>
      </c>
      <c r="D15" t="s">
        <v>43</v>
      </c>
      <c r="E15" t="s">
        <v>36</v>
      </c>
      <c r="G15" t="s">
        <v>14</v>
      </c>
      <c r="H15" t="s">
        <v>72</v>
      </c>
      <c r="I15" t="s">
        <v>8</v>
      </c>
      <c r="N15" t="s">
        <v>72</v>
      </c>
      <c r="O15" t="s">
        <v>72</v>
      </c>
      <c r="T15" t="str">
        <f t="shared" si="0"/>
        <v>tpl:MelColumn(?tag_number_entity, mel:Equipment_Type_Description, ?equipment_type_description), tpl:MelColumnDef(mel:Equipment_Type_Description, 10),</v>
      </c>
    </row>
    <row r="16" spans="1:20" x14ac:dyDescent="0.25">
      <c r="A16" t="s">
        <v>103</v>
      </c>
      <c r="B16" s="2" t="s">
        <v>104</v>
      </c>
      <c r="C16">
        <v>13</v>
      </c>
      <c r="D16" t="s">
        <v>43</v>
      </c>
      <c r="E16" t="s">
        <v>37</v>
      </c>
      <c r="G16" t="s">
        <v>14</v>
      </c>
      <c r="H16" t="s">
        <v>72</v>
      </c>
      <c r="I16" t="s">
        <v>9</v>
      </c>
      <c r="N16" t="s">
        <v>72</v>
      </c>
      <c r="O16" t="s">
        <v>72</v>
      </c>
      <c r="T16" t="str">
        <f t="shared" si="0"/>
        <v>tpl:MelColumn(?tag_number_entity, mel:Area, ?area), tpl:MelColumnDef(mel:Area, 11),</v>
      </c>
    </row>
    <row r="17" spans="1:20" x14ac:dyDescent="0.25">
      <c r="A17" t="s">
        <v>103</v>
      </c>
      <c r="B17" s="2" t="s">
        <v>104</v>
      </c>
      <c r="C17">
        <v>14</v>
      </c>
      <c r="D17" t="s">
        <v>43</v>
      </c>
      <c r="E17" t="s">
        <v>38</v>
      </c>
      <c r="G17" t="s">
        <v>14</v>
      </c>
      <c r="H17" t="s">
        <v>72</v>
      </c>
      <c r="I17" t="s">
        <v>10</v>
      </c>
      <c r="N17" t="s">
        <v>72</v>
      </c>
      <c r="O17" t="s">
        <v>72</v>
      </c>
      <c r="T17" t="str">
        <f t="shared" si="0"/>
        <v>tpl:MelColumn(?tag_number_entity, mel:Sub_Area, ?sub_area), tpl:MelColumnDef(mel:Sub_Area, 12),</v>
      </c>
    </row>
    <row r="18" spans="1:20" x14ac:dyDescent="0.25">
      <c r="A18" t="s">
        <v>103</v>
      </c>
      <c r="B18" s="2" t="s">
        <v>104</v>
      </c>
      <c r="C18">
        <v>15</v>
      </c>
      <c r="D18" t="s">
        <v>43</v>
      </c>
      <c r="E18" t="s">
        <v>39</v>
      </c>
      <c r="G18" t="s">
        <v>14</v>
      </c>
      <c r="H18" t="s">
        <v>72</v>
      </c>
      <c r="I18" t="s">
        <v>11</v>
      </c>
      <c r="N18" t="s">
        <v>72</v>
      </c>
      <c r="O18" t="s">
        <v>72</v>
      </c>
      <c r="Q18" s="2" t="s">
        <v>57</v>
      </c>
      <c r="T18" t="str">
        <f t="shared" si="0"/>
        <v>tpl:MelColumn(?tag_number_entity, mel:Function_Area, ?function_area), tpl:MelColumnDef(mel:Function_Area, 13),</v>
      </c>
    </row>
    <row r="19" spans="1:20" x14ac:dyDescent="0.25">
      <c r="A19" t="s">
        <v>103</v>
      </c>
      <c r="B19" s="2" t="s">
        <v>104</v>
      </c>
      <c r="C19">
        <v>16</v>
      </c>
      <c r="D19" t="s">
        <v>43</v>
      </c>
      <c r="E19" t="s">
        <v>153</v>
      </c>
      <c r="G19" t="s">
        <v>14</v>
      </c>
      <c r="H19" t="s">
        <v>72</v>
      </c>
      <c r="I19" t="s">
        <v>112</v>
      </c>
      <c r="N19" t="s">
        <v>72</v>
      </c>
      <c r="O19" t="s">
        <v>72</v>
      </c>
      <c r="T19" t="str">
        <f t="shared" si="0"/>
        <v>tpl:MelColumn(?tag_number_entity, mel:L_or_TT_mm, ?l_or_tt_mm), tpl:MelColumnDef(mel:L_or_TT_mm, 14),</v>
      </c>
    </row>
    <row r="20" spans="1:20" x14ac:dyDescent="0.25">
      <c r="A20" t="s">
        <v>103</v>
      </c>
      <c r="B20" s="2" t="s">
        <v>104</v>
      </c>
      <c r="C20">
        <v>17</v>
      </c>
      <c r="D20" t="s">
        <v>43</v>
      </c>
      <c r="E20" t="s">
        <v>154</v>
      </c>
      <c r="G20" t="s">
        <v>14</v>
      </c>
      <c r="H20" t="s">
        <v>72</v>
      </c>
      <c r="I20" t="s">
        <v>113</v>
      </c>
      <c r="N20" t="s">
        <v>72</v>
      </c>
      <c r="O20" t="s">
        <v>72</v>
      </c>
      <c r="T20" t="str">
        <f t="shared" si="0"/>
        <v>tpl:MelColumn(?tag_number_entity, mel:W_or_ID_mm, ?w_or_id_mm), tpl:MelColumnDef(mel:W_or_ID_mm, 15),</v>
      </c>
    </row>
    <row r="21" spans="1:20" x14ac:dyDescent="0.25">
      <c r="A21" t="s">
        <v>103</v>
      </c>
      <c r="B21" s="2" t="s">
        <v>104</v>
      </c>
      <c r="C21">
        <v>18</v>
      </c>
      <c r="D21" t="s">
        <v>43</v>
      </c>
      <c r="E21" t="s">
        <v>155</v>
      </c>
      <c r="G21" t="s">
        <v>14</v>
      </c>
      <c r="H21" t="s">
        <v>72</v>
      </c>
      <c r="I21" t="s">
        <v>114</v>
      </c>
      <c r="N21" t="s">
        <v>72</v>
      </c>
      <c r="O21" t="s">
        <v>72</v>
      </c>
      <c r="T21" t="str">
        <f t="shared" si="0"/>
        <v>tpl:MelColumn(?tag_number_entity, mel:H_or_TT_mm, ?h_or_tt_mm), tpl:MelColumnDef(mel:H_or_TT_mm, 16),</v>
      </c>
    </row>
    <row r="22" spans="1:20" x14ac:dyDescent="0.25">
      <c r="A22" t="s">
        <v>103</v>
      </c>
      <c r="B22" s="2" t="s">
        <v>104</v>
      </c>
      <c r="C22">
        <v>19</v>
      </c>
      <c r="D22" t="s">
        <v>43</v>
      </c>
      <c r="E22" t="s">
        <v>156</v>
      </c>
      <c r="G22" t="s">
        <v>14</v>
      </c>
      <c r="H22" t="s">
        <v>72</v>
      </c>
      <c r="I22" t="s">
        <v>115</v>
      </c>
      <c r="N22" t="s">
        <v>72</v>
      </c>
      <c r="O22" t="s">
        <v>72</v>
      </c>
      <c r="T22" t="str">
        <f t="shared" si="0"/>
        <v>tpl:MelColumn(?tag_number_entity, mel:Footprint_m2, ?footprint_m2), tpl:MelColumnDef(mel:Footprint_m2, 17),</v>
      </c>
    </row>
    <row r="23" spans="1:20" x14ac:dyDescent="0.25">
      <c r="A23" t="s">
        <v>103</v>
      </c>
      <c r="B23" s="2" t="s">
        <v>104</v>
      </c>
      <c r="C23">
        <v>20</v>
      </c>
      <c r="D23" t="s">
        <v>43</v>
      </c>
      <c r="E23" t="s">
        <v>157</v>
      </c>
      <c r="G23" t="s">
        <v>14</v>
      </c>
      <c r="H23" t="s">
        <v>72</v>
      </c>
      <c r="I23" t="s">
        <v>116</v>
      </c>
      <c r="N23" t="s">
        <v>72</v>
      </c>
      <c r="O23" t="s">
        <v>72</v>
      </c>
      <c r="T23" t="str">
        <f t="shared" si="0"/>
        <v>tpl:MelColumn(?tag_number_entity, mel:Modification_Phase_Code, ?modification_phase_code), tpl:MelColumnDef(mel:Modification_Phase_Code, 18),</v>
      </c>
    </row>
    <row r="24" spans="1:20" x14ac:dyDescent="0.25">
      <c r="A24" t="s">
        <v>103</v>
      </c>
      <c r="B24" s="2" t="s">
        <v>104</v>
      </c>
      <c r="C24">
        <v>21</v>
      </c>
      <c r="D24" t="s">
        <v>43</v>
      </c>
      <c r="E24" t="s">
        <v>158</v>
      </c>
      <c r="G24" t="s">
        <v>14</v>
      </c>
      <c r="H24" t="s">
        <v>72</v>
      </c>
      <c r="I24" t="s">
        <v>117</v>
      </c>
      <c r="N24" t="s">
        <v>72</v>
      </c>
      <c r="O24" t="s">
        <v>72</v>
      </c>
      <c r="T24" t="str">
        <f t="shared" si="0"/>
        <v>tpl:MelColumn(?tag_number_entity, mel:Modification_Construction_Code, ?modification_cunstruction_code), tpl:MelColumnDef(mel:Modification_Construction_Code, 19),</v>
      </c>
    </row>
    <row r="25" spans="1:20" x14ac:dyDescent="0.25">
      <c r="A25" t="s">
        <v>103</v>
      </c>
      <c r="B25" s="2" t="s">
        <v>104</v>
      </c>
      <c r="C25">
        <v>22</v>
      </c>
      <c r="D25" t="s">
        <v>43</v>
      </c>
      <c r="E25" t="s">
        <v>159</v>
      </c>
      <c r="G25" t="s">
        <v>14</v>
      </c>
      <c r="H25" t="s">
        <v>72</v>
      </c>
      <c r="I25" t="s">
        <v>118</v>
      </c>
      <c r="N25" t="s">
        <v>72</v>
      </c>
      <c r="O25" t="s">
        <v>72</v>
      </c>
      <c r="T25" t="str">
        <f t="shared" si="0"/>
        <v>tpl:MelColumn(?tag_number_entity, mel:Modification_Handling_Code, ?modification_handling_code), tpl:MelColumnDef(mel:Modification_Handling_Code, 20),</v>
      </c>
    </row>
    <row r="26" spans="1:20" x14ac:dyDescent="0.25">
      <c r="A26" t="s">
        <v>103</v>
      </c>
      <c r="B26" s="2" t="s">
        <v>104</v>
      </c>
      <c r="C26">
        <v>23</v>
      </c>
      <c r="D26" t="s">
        <v>43</v>
      </c>
      <c r="E26" t="s">
        <v>160</v>
      </c>
      <c r="G26" t="s">
        <v>14</v>
      </c>
      <c r="H26" t="s">
        <v>72</v>
      </c>
      <c r="I26" t="s">
        <v>119</v>
      </c>
      <c r="N26" t="s">
        <v>72</v>
      </c>
      <c r="O26" t="s">
        <v>72</v>
      </c>
      <c r="T26" t="str">
        <f t="shared" si="0"/>
        <v>tpl:MelColumn(?tag_number_entity, mel:Allowance_pct, ?allowance_pct), tpl:MelColumnDef(mel:Allowance_pct, 21),</v>
      </c>
    </row>
    <row r="27" spans="1:20" x14ac:dyDescent="0.25">
      <c r="A27" t="s">
        <v>103</v>
      </c>
      <c r="B27" s="2" t="s">
        <v>104</v>
      </c>
      <c r="C27">
        <v>24</v>
      </c>
      <c r="D27" t="s">
        <v>43</v>
      </c>
      <c r="E27" t="s">
        <v>161</v>
      </c>
      <c r="G27" t="s">
        <v>14</v>
      </c>
      <c r="H27" t="s">
        <v>72</v>
      </c>
      <c r="I27" t="s">
        <v>120</v>
      </c>
      <c r="N27" t="s">
        <v>72</v>
      </c>
      <c r="O27" t="s">
        <v>72</v>
      </c>
      <c r="T27" t="str">
        <f t="shared" si="0"/>
        <v>tpl:MelColumn(?tag_number_entity, mel:Net_Dry_Weight_kg, ?net_dry_weight_kg), tpl:MelColumnDef(mel:Net_Dry_Weight_kg, 22),</v>
      </c>
    </row>
    <row r="28" spans="1:20" x14ac:dyDescent="0.25">
      <c r="A28" t="s">
        <v>103</v>
      </c>
      <c r="B28" s="2" t="s">
        <v>104</v>
      </c>
      <c r="C28">
        <v>25</v>
      </c>
      <c r="D28" t="s">
        <v>43</v>
      </c>
      <c r="E28" t="s">
        <v>162</v>
      </c>
      <c r="G28" t="s">
        <v>14</v>
      </c>
      <c r="H28" t="s">
        <v>72</v>
      </c>
      <c r="I28" t="s">
        <v>121</v>
      </c>
      <c r="N28" t="s">
        <v>72</v>
      </c>
      <c r="O28" t="s">
        <v>72</v>
      </c>
      <c r="T28" t="str">
        <f t="shared" si="0"/>
        <v>tpl:MelColumn(?tag_number_entity, mel:Gross_Dry_Weight_kg, ?gross_dry_weight_kg), tpl:MelColumnDef(mel:Gross_Dry_Weight_kg, 23),</v>
      </c>
    </row>
    <row r="29" spans="1:20" x14ac:dyDescent="0.25">
      <c r="A29" t="s">
        <v>103</v>
      </c>
      <c r="B29" s="2" t="s">
        <v>104</v>
      </c>
      <c r="C29">
        <v>26</v>
      </c>
      <c r="D29" t="s">
        <v>43</v>
      </c>
      <c r="E29" t="s">
        <v>163</v>
      </c>
      <c r="G29" t="s">
        <v>14</v>
      </c>
      <c r="H29" t="s">
        <v>72</v>
      </c>
      <c r="I29" t="s">
        <v>122</v>
      </c>
      <c r="N29" t="s">
        <v>72</v>
      </c>
      <c r="O29" t="s">
        <v>72</v>
      </c>
      <c r="T29" t="str">
        <f t="shared" si="0"/>
        <v>tpl:MelColumn(?tag_number_entity, mel:Content_Weight_kg, ?content_weight_kg), tpl:MelColumnDef(mel:Content_Weight_kg, 24),</v>
      </c>
    </row>
    <row r="30" spans="1:20" x14ac:dyDescent="0.25">
      <c r="A30" t="s">
        <v>103</v>
      </c>
      <c r="B30" s="2" t="s">
        <v>104</v>
      </c>
      <c r="C30">
        <v>27</v>
      </c>
      <c r="D30" t="s">
        <v>43</v>
      </c>
      <c r="E30" t="s">
        <v>164</v>
      </c>
      <c r="G30" t="s">
        <v>14</v>
      </c>
      <c r="H30" t="s">
        <v>72</v>
      </c>
      <c r="I30" t="s">
        <v>123</v>
      </c>
      <c r="N30" t="s">
        <v>72</v>
      </c>
      <c r="O30" t="s">
        <v>72</v>
      </c>
      <c r="T30" t="str">
        <f t="shared" si="0"/>
        <v>tpl:MelColumn(?tag_number_entity, mel:Dry_CoG_East_mm, ?dry_cog_east_mm), tpl:MelColumnDef(mel:Dry_CoG_East_mm, 25),</v>
      </c>
    </row>
    <row r="31" spans="1:20" x14ac:dyDescent="0.25">
      <c r="A31" t="s">
        <v>103</v>
      </c>
      <c r="B31" s="2" t="s">
        <v>104</v>
      </c>
      <c r="C31">
        <v>28</v>
      </c>
      <c r="D31" t="s">
        <v>43</v>
      </c>
      <c r="E31" t="s">
        <v>165</v>
      </c>
      <c r="G31" t="s">
        <v>14</v>
      </c>
      <c r="H31" t="s">
        <v>72</v>
      </c>
      <c r="I31" t="s">
        <v>124</v>
      </c>
      <c r="N31" t="s">
        <v>72</v>
      </c>
      <c r="O31" t="s">
        <v>72</v>
      </c>
      <c r="T31" t="str">
        <f t="shared" si="0"/>
        <v>tpl:MelColumn(?tag_number_entity, mel:Dry_CoG_North_mm, ?dry_cog_north_mm), tpl:MelColumnDef(mel:Dry_CoG_North_mm, 26),</v>
      </c>
    </row>
    <row r="32" spans="1:20" x14ac:dyDescent="0.25">
      <c r="A32" t="s">
        <v>103</v>
      </c>
      <c r="B32" s="2" t="s">
        <v>104</v>
      </c>
      <c r="C32">
        <v>29</v>
      </c>
      <c r="D32" t="s">
        <v>43</v>
      </c>
      <c r="E32" t="s">
        <v>166</v>
      </c>
      <c r="G32" t="s">
        <v>14</v>
      </c>
      <c r="H32" t="s">
        <v>72</v>
      </c>
      <c r="I32" t="s">
        <v>125</v>
      </c>
      <c r="N32" t="s">
        <v>72</v>
      </c>
      <c r="O32" t="s">
        <v>72</v>
      </c>
      <c r="T32" t="str">
        <f t="shared" si="0"/>
        <v>tpl:MelColumn(?tag_number_entity, mel:Dry_CoG_Elevation_mm, ?dry_cog_elevation_mm), tpl:MelColumnDef(mel:Dry_CoG_Elevation_mm, 27),</v>
      </c>
    </row>
    <row r="33" spans="1:20" x14ac:dyDescent="0.25">
      <c r="A33" t="s">
        <v>103</v>
      </c>
      <c r="B33" s="2" t="s">
        <v>104</v>
      </c>
      <c r="C33">
        <v>30</v>
      </c>
      <c r="D33" t="s">
        <v>43</v>
      </c>
      <c r="E33" t="s">
        <v>167</v>
      </c>
      <c r="G33" t="s">
        <v>14</v>
      </c>
      <c r="H33" t="s">
        <v>72</v>
      </c>
      <c r="I33" t="s">
        <v>126</v>
      </c>
      <c r="N33" t="s">
        <v>72</v>
      </c>
      <c r="O33" t="s">
        <v>72</v>
      </c>
      <c r="T33" t="str">
        <f t="shared" si="0"/>
        <v>tpl:MelColumn(?tag_number_entity, mel:Price_Source, ?price_source), tpl:MelColumnDef(mel:Price_Source, 28),</v>
      </c>
    </row>
    <row r="34" spans="1:20" x14ac:dyDescent="0.25">
      <c r="A34" t="s">
        <v>103</v>
      </c>
      <c r="B34" s="2" t="s">
        <v>104</v>
      </c>
      <c r="C34">
        <v>31</v>
      </c>
      <c r="D34" t="s">
        <v>43</v>
      </c>
      <c r="E34" t="s">
        <v>168</v>
      </c>
      <c r="G34" t="s">
        <v>14</v>
      </c>
      <c r="H34" t="s">
        <v>72</v>
      </c>
      <c r="I34" t="s">
        <v>127</v>
      </c>
      <c r="N34" t="s">
        <v>72</v>
      </c>
      <c r="O34" t="s">
        <v>72</v>
      </c>
      <c r="T34" t="str">
        <f t="shared" si="0"/>
        <v>tpl:MelColumn(?tag_number_entity, mel:Cost_Proj_currency, ?cost_proj_currency), tpl:MelColumnDef(mel:Cost_Proj_currency, 29),</v>
      </c>
    </row>
    <row r="35" spans="1:20" x14ac:dyDescent="0.25">
      <c r="A35" t="s">
        <v>103</v>
      </c>
      <c r="B35" s="2" t="s">
        <v>104</v>
      </c>
      <c r="C35">
        <v>32</v>
      </c>
      <c r="D35" t="s">
        <v>43</v>
      </c>
      <c r="E35" t="s">
        <v>169</v>
      </c>
      <c r="G35" t="s">
        <v>14</v>
      </c>
      <c r="H35" t="s">
        <v>72</v>
      </c>
      <c r="I35" t="s">
        <v>128</v>
      </c>
      <c r="N35" t="s">
        <v>72</v>
      </c>
      <c r="O35" t="s">
        <v>72</v>
      </c>
      <c r="T35" t="str">
        <f t="shared" si="0"/>
        <v>tpl:MelColumn(?tag_number_entity, mel:Cost_Date, ?cost_date), tpl:MelColumnDef(mel:Cost_Date, 30),</v>
      </c>
    </row>
    <row r="36" spans="1:20" x14ac:dyDescent="0.25">
      <c r="A36" t="s">
        <v>103</v>
      </c>
      <c r="B36" s="2" t="s">
        <v>104</v>
      </c>
      <c r="C36">
        <v>33</v>
      </c>
      <c r="D36" t="s">
        <v>43</v>
      </c>
      <c r="E36" t="s">
        <v>170</v>
      </c>
      <c r="G36" t="s">
        <v>14</v>
      </c>
      <c r="H36" t="s">
        <v>72</v>
      </c>
      <c r="I36" t="s">
        <v>129</v>
      </c>
      <c r="N36" t="s">
        <v>72</v>
      </c>
      <c r="O36" t="s">
        <v>72</v>
      </c>
      <c r="T36" t="str">
        <f t="shared" si="0"/>
        <v>tpl:MelColumn(?tag_number_entity, mel:Exch_rate, ?exch_rate), tpl:MelColumnDef(mel:Exch_rate, 31),</v>
      </c>
    </row>
    <row r="37" spans="1:20" x14ac:dyDescent="0.25">
      <c r="A37" t="s">
        <v>103</v>
      </c>
      <c r="B37" s="2" t="s">
        <v>104</v>
      </c>
      <c r="C37">
        <v>34</v>
      </c>
      <c r="D37" t="s">
        <v>43</v>
      </c>
      <c r="E37" t="s">
        <v>171</v>
      </c>
      <c r="G37" t="s">
        <v>14</v>
      </c>
      <c r="H37" t="s">
        <v>72</v>
      </c>
      <c r="I37" t="s">
        <v>130</v>
      </c>
      <c r="N37" t="s">
        <v>72</v>
      </c>
      <c r="O37" t="s">
        <v>72</v>
      </c>
      <c r="T37" t="str">
        <f t="shared" si="0"/>
        <v>tpl:MelColumn(?tag_number_entity, mel:NOK, ?nok), tpl:MelColumnDef(mel:NOK, 32),</v>
      </c>
    </row>
    <row r="38" spans="1:20" x14ac:dyDescent="0.25">
      <c r="A38" t="s">
        <v>103</v>
      </c>
      <c r="B38" s="2" t="s">
        <v>104</v>
      </c>
      <c r="C38">
        <v>35</v>
      </c>
      <c r="D38" t="s">
        <v>43</v>
      </c>
      <c r="E38" t="s">
        <v>172</v>
      </c>
      <c r="G38" t="s">
        <v>14</v>
      </c>
      <c r="H38" t="s">
        <v>72</v>
      </c>
      <c r="I38" t="s">
        <v>131</v>
      </c>
      <c r="N38" t="s">
        <v>72</v>
      </c>
      <c r="O38" t="s">
        <v>72</v>
      </c>
      <c r="T38" t="str">
        <f t="shared" si="0"/>
        <v>tpl:MelColumn(?tag_number_entity, mel:Pressure_1_barg, ?pressure_1_barg), tpl:MelColumnDef(mel:Pressure_1_barg, 33),</v>
      </c>
    </row>
    <row r="39" spans="1:20" x14ac:dyDescent="0.25">
      <c r="A39" t="s">
        <v>103</v>
      </c>
      <c r="B39" s="2" t="s">
        <v>104</v>
      </c>
      <c r="C39">
        <v>36</v>
      </c>
      <c r="D39" t="s">
        <v>43</v>
      </c>
      <c r="E39" t="s">
        <v>173</v>
      </c>
      <c r="G39" t="s">
        <v>14</v>
      </c>
      <c r="H39" t="s">
        <v>72</v>
      </c>
      <c r="I39" t="s">
        <v>132</v>
      </c>
      <c r="N39" t="s">
        <v>72</v>
      </c>
      <c r="O39" t="s">
        <v>72</v>
      </c>
      <c r="T39" t="str">
        <f t="shared" si="0"/>
        <v>tpl:MelColumn(?tag_number_entity, mel:Pressure_2_barg, ?pressure_2_barg), tpl:MelColumnDef(mel:Pressure_2_barg, 34),</v>
      </c>
    </row>
    <row r="40" spans="1:20" x14ac:dyDescent="0.25">
      <c r="A40" t="s">
        <v>103</v>
      </c>
      <c r="B40" s="2" t="s">
        <v>104</v>
      </c>
      <c r="C40">
        <v>37</v>
      </c>
      <c r="D40" t="s">
        <v>43</v>
      </c>
      <c r="E40" t="s">
        <v>174</v>
      </c>
      <c r="G40" t="s">
        <v>14</v>
      </c>
      <c r="H40" t="s">
        <v>72</v>
      </c>
      <c r="I40" t="s">
        <v>133</v>
      </c>
      <c r="N40" t="s">
        <v>72</v>
      </c>
      <c r="O40" t="s">
        <v>72</v>
      </c>
      <c r="T40" t="str">
        <f t="shared" si="0"/>
        <v>tpl:MelColumn(?tag_number_entity, mel:Temp_1_degC, ?temp_1_degc), tpl:MelColumnDef(mel:Temp_1_degC, 35),</v>
      </c>
    </row>
    <row r="41" spans="1:20" x14ac:dyDescent="0.25">
      <c r="A41" t="s">
        <v>103</v>
      </c>
      <c r="B41" s="2" t="s">
        <v>104</v>
      </c>
      <c r="C41">
        <v>38</v>
      </c>
      <c r="D41" t="s">
        <v>43</v>
      </c>
      <c r="E41" t="s">
        <v>175</v>
      </c>
      <c r="G41" t="s">
        <v>14</v>
      </c>
      <c r="H41" t="s">
        <v>72</v>
      </c>
      <c r="I41" t="s">
        <v>134</v>
      </c>
      <c r="N41" t="s">
        <v>72</v>
      </c>
      <c r="O41" t="s">
        <v>72</v>
      </c>
      <c r="T41" t="str">
        <f t="shared" si="0"/>
        <v>tpl:MelColumn(?tag_number_entity, mel:Temp_2_degC, ?temp_2_degc), tpl:MelColumnDef(mel:Temp_2_degC, 36),</v>
      </c>
    </row>
    <row r="42" spans="1:20" x14ac:dyDescent="0.25">
      <c r="A42" t="s">
        <v>103</v>
      </c>
      <c r="B42" s="2" t="s">
        <v>104</v>
      </c>
      <c r="C42">
        <v>39</v>
      </c>
      <c r="D42" t="s">
        <v>43</v>
      </c>
      <c r="E42" t="s">
        <v>176</v>
      </c>
      <c r="G42" t="s">
        <v>14</v>
      </c>
      <c r="H42" t="s">
        <v>72</v>
      </c>
      <c r="I42" t="s">
        <v>135</v>
      </c>
      <c r="N42" t="s">
        <v>72</v>
      </c>
      <c r="O42" t="s">
        <v>72</v>
      </c>
      <c r="T42" t="str">
        <f t="shared" si="0"/>
        <v>tpl:MelColumn(?tag_number_entity, mel:Flow_rate_1_m3_per_hr, ?flow_rate_1_m3_per_hr), tpl:MelColumnDef(mel:Flow_rate_1_m3_per_hr, 37),</v>
      </c>
    </row>
    <row r="43" spans="1:20" x14ac:dyDescent="0.25">
      <c r="A43" t="s">
        <v>103</v>
      </c>
      <c r="B43" s="2" t="s">
        <v>104</v>
      </c>
      <c r="C43">
        <v>40</v>
      </c>
      <c r="D43" t="s">
        <v>43</v>
      </c>
      <c r="E43" t="s">
        <v>177</v>
      </c>
      <c r="G43" t="s">
        <v>14</v>
      </c>
      <c r="H43" t="s">
        <v>72</v>
      </c>
      <c r="I43" t="s">
        <v>136</v>
      </c>
      <c r="N43" t="s">
        <v>72</v>
      </c>
      <c r="O43" t="s">
        <v>72</v>
      </c>
      <c r="T43" t="str">
        <f t="shared" si="0"/>
        <v>tpl:MelColumn(?tag_number_entity, mel:Flow_rate_2_m3_per_hr, ?flow_rate_2_m3_per_hr), tpl:MelColumnDef(mel:Flow_rate_2_m3_per_hr, 38),</v>
      </c>
    </row>
    <row r="44" spans="1:20" x14ac:dyDescent="0.25">
      <c r="A44" t="s">
        <v>103</v>
      </c>
      <c r="B44" s="2" t="s">
        <v>104</v>
      </c>
      <c r="C44">
        <v>41</v>
      </c>
      <c r="D44" t="s">
        <v>43</v>
      </c>
      <c r="E44" t="s">
        <v>178</v>
      </c>
      <c r="G44" t="s">
        <v>14</v>
      </c>
      <c r="H44" t="s">
        <v>72</v>
      </c>
      <c r="I44" t="s">
        <v>137</v>
      </c>
      <c r="N44" t="s">
        <v>72</v>
      </c>
      <c r="O44" t="s">
        <v>72</v>
      </c>
      <c r="T44" t="str">
        <f t="shared" si="0"/>
        <v>tpl:MelColumn(?tag_number_entity, mel:Capacity_m3, ?capacity_m3), tpl:MelColumnDef(mel:Capacity_m3, 39),</v>
      </c>
    </row>
    <row r="45" spans="1:20" x14ac:dyDescent="0.25">
      <c r="A45" t="s">
        <v>103</v>
      </c>
      <c r="B45" s="2" t="s">
        <v>104</v>
      </c>
      <c r="C45">
        <v>42</v>
      </c>
      <c r="D45" t="s">
        <v>43</v>
      </c>
      <c r="E45" t="s">
        <v>179</v>
      </c>
      <c r="G45" t="s">
        <v>14</v>
      </c>
      <c r="H45" t="s">
        <v>72</v>
      </c>
      <c r="I45" t="s">
        <v>138</v>
      </c>
      <c r="N45" t="s">
        <v>72</v>
      </c>
      <c r="O45" t="s">
        <v>72</v>
      </c>
      <c r="T45" t="str">
        <f t="shared" si="0"/>
        <v>tpl:MelColumn(?tag_number_entity, mel:Heat_transfer_medium_type, ?heat_transfer_medium_type), tpl:MelColumnDef(mel:Heat_transfer_medium_type, 40),</v>
      </c>
    </row>
    <row r="46" spans="1:20" x14ac:dyDescent="0.25">
      <c r="A46" t="s">
        <v>103</v>
      </c>
      <c r="B46" s="2" t="s">
        <v>104</v>
      </c>
      <c r="C46">
        <v>43</v>
      </c>
      <c r="D46" t="s">
        <v>43</v>
      </c>
      <c r="E46" t="s">
        <v>180</v>
      </c>
      <c r="G46" t="s">
        <v>14</v>
      </c>
      <c r="H46" t="s">
        <v>72</v>
      </c>
      <c r="I46" t="s">
        <v>139</v>
      </c>
      <c r="N46" t="s">
        <v>72</v>
      </c>
      <c r="O46" t="s">
        <v>72</v>
      </c>
      <c r="T46" t="str">
        <f t="shared" si="0"/>
        <v>tpl:MelColumn(?tag_number_entity, mel:Speed_RPM, ?speed_rpm), tpl:MelColumnDef(mel:Speed_RPM, 41),</v>
      </c>
    </row>
    <row r="47" spans="1:20" x14ac:dyDescent="0.25">
      <c r="A47" t="s">
        <v>103</v>
      </c>
      <c r="B47" s="2" t="s">
        <v>104</v>
      </c>
      <c r="C47">
        <v>44</v>
      </c>
      <c r="D47" t="s">
        <v>43</v>
      </c>
      <c r="E47" t="s">
        <v>181</v>
      </c>
      <c r="G47" t="s">
        <v>14</v>
      </c>
      <c r="H47" t="s">
        <v>72</v>
      </c>
      <c r="I47" t="s">
        <v>140</v>
      </c>
      <c r="N47" t="s">
        <v>72</v>
      </c>
      <c r="O47" t="s">
        <v>72</v>
      </c>
      <c r="T47" t="str">
        <f t="shared" si="0"/>
        <v>tpl:MelColumn(?tag_number_entity, mel:Heat_Exchanged_per_Unit_kW, ?heat_exchanged_per_unit_kw), tpl:MelColumnDef(mel:Heat_Exchanged_per_Unit_kW, 42),</v>
      </c>
    </row>
    <row r="48" spans="1:20" x14ac:dyDescent="0.25">
      <c r="A48" t="s">
        <v>103</v>
      </c>
      <c r="B48" s="2" t="s">
        <v>104</v>
      </c>
      <c r="C48">
        <v>45</v>
      </c>
      <c r="D48" t="s">
        <v>43</v>
      </c>
      <c r="E48" t="s">
        <v>182</v>
      </c>
      <c r="G48" t="s">
        <v>14</v>
      </c>
      <c r="H48" t="s">
        <v>72</v>
      </c>
      <c r="I48" t="s">
        <v>141</v>
      </c>
      <c r="N48" t="s">
        <v>72</v>
      </c>
      <c r="O48" t="s">
        <v>72</v>
      </c>
      <c r="T48" t="str">
        <f t="shared" si="0"/>
        <v>tpl:MelColumn(?tag_number_entity, mel:Shaft_Power_kW, ?shaft_power_kw), tpl:MelColumnDef(mel:Shaft_Power_kW, 43),</v>
      </c>
    </row>
    <row r="49" spans="1:20" x14ac:dyDescent="0.25">
      <c r="A49" t="s">
        <v>103</v>
      </c>
      <c r="B49" s="2" t="s">
        <v>104</v>
      </c>
      <c r="C49">
        <v>46</v>
      </c>
      <c r="D49" t="s">
        <v>43</v>
      </c>
      <c r="E49" t="s">
        <v>183</v>
      </c>
      <c r="G49" t="s">
        <v>14</v>
      </c>
      <c r="H49" t="s">
        <v>72</v>
      </c>
      <c r="I49" t="s">
        <v>142</v>
      </c>
      <c r="N49" t="s">
        <v>72</v>
      </c>
      <c r="O49" t="s">
        <v>72</v>
      </c>
      <c r="T49" t="str">
        <f t="shared" si="0"/>
        <v>tpl:MelColumn(?tag_number_entity, mel:Rated_Power_kW, ?rated_power_kw), tpl:MelColumnDef(mel:Rated_Power_kW, 44),</v>
      </c>
    </row>
    <row r="50" spans="1:20" x14ac:dyDescent="0.25">
      <c r="A50" t="s">
        <v>103</v>
      </c>
      <c r="B50" s="2" t="s">
        <v>104</v>
      </c>
      <c r="C50">
        <v>47</v>
      </c>
      <c r="D50" t="s">
        <v>43</v>
      </c>
      <c r="E50" t="s">
        <v>184</v>
      </c>
      <c r="G50" t="s">
        <v>14</v>
      </c>
      <c r="H50" t="s">
        <v>72</v>
      </c>
      <c r="I50" t="s">
        <v>143</v>
      </c>
      <c r="N50" t="s">
        <v>72</v>
      </c>
      <c r="O50" t="s">
        <v>72</v>
      </c>
      <c r="T50" t="str">
        <f t="shared" si="0"/>
        <v>tpl:MelColumn(?tag_number_entity, mel:Heat_Transfer_Surface_Area_m2, ?heat_transfer_surface_area_m2), tpl:MelColumnDef(mel:Heat_Transfer_Surface_Area_m2, 45),</v>
      </c>
    </row>
    <row r="51" spans="1:20" x14ac:dyDescent="0.25">
      <c r="A51" t="s">
        <v>103</v>
      </c>
      <c r="B51" s="2" t="s">
        <v>104</v>
      </c>
      <c r="C51">
        <v>48</v>
      </c>
      <c r="D51" t="s">
        <v>43</v>
      </c>
      <c r="E51" t="s">
        <v>185</v>
      </c>
      <c r="G51" t="s">
        <v>14</v>
      </c>
      <c r="H51" t="s">
        <v>72</v>
      </c>
      <c r="I51" t="s">
        <v>144</v>
      </c>
      <c r="N51" t="s">
        <v>72</v>
      </c>
      <c r="O51" t="s">
        <v>72</v>
      </c>
      <c r="T51" t="str">
        <f t="shared" si="0"/>
        <v>tpl:MelColumn(?tag_number_entity, mel:Material_1, ?material_1), tpl:MelColumnDef(mel:Material_1, 46),</v>
      </c>
    </row>
    <row r="52" spans="1:20" x14ac:dyDescent="0.25">
      <c r="A52" t="s">
        <v>103</v>
      </c>
      <c r="B52" s="2" t="s">
        <v>104</v>
      </c>
      <c r="C52">
        <v>49</v>
      </c>
      <c r="D52" t="s">
        <v>43</v>
      </c>
      <c r="E52" t="s">
        <v>186</v>
      </c>
      <c r="G52" t="s">
        <v>14</v>
      </c>
      <c r="H52" t="s">
        <v>72</v>
      </c>
      <c r="I52" t="s">
        <v>145</v>
      </c>
      <c r="N52" t="s">
        <v>72</v>
      </c>
      <c r="O52" t="s">
        <v>72</v>
      </c>
      <c r="T52" t="str">
        <f t="shared" si="0"/>
        <v>tpl:MelColumn(?tag_number_entity, mel:Material_2, ?material_2), tpl:MelColumnDef(mel:Material_2, 47),</v>
      </c>
    </row>
    <row r="53" spans="1:20" x14ac:dyDescent="0.25">
      <c r="A53" t="s">
        <v>103</v>
      </c>
      <c r="B53" s="2" t="s">
        <v>104</v>
      </c>
      <c r="C53">
        <v>50</v>
      </c>
      <c r="D53" t="s">
        <v>43</v>
      </c>
      <c r="E53" t="s">
        <v>187</v>
      </c>
      <c r="G53" t="s">
        <v>14</v>
      </c>
      <c r="H53" t="s">
        <v>72</v>
      </c>
      <c r="I53" t="s">
        <v>146</v>
      </c>
      <c r="N53" t="s">
        <v>72</v>
      </c>
      <c r="O53" t="s">
        <v>72</v>
      </c>
      <c r="T53" t="str">
        <f t="shared" si="0"/>
        <v>tpl:MelColumn(?tag_number_entity, mel:Reference_or_Source, ?reference_or_source), tpl:MelColumnDef(mel:Reference_or_Source, 48),</v>
      </c>
    </row>
    <row r="54" spans="1:20" x14ac:dyDescent="0.25">
      <c r="A54" t="s">
        <v>103</v>
      </c>
      <c r="B54" s="2" t="s">
        <v>104</v>
      </c>
      <c r="C54">
        <v>51</v>
      </c>
      <c r="D54" t="s">
        <v>43</v>
      </c>
      <c r="E54" t="s">
        <v>188</v>
      </c>
      <c r="G54" t="s">
        <v>14</v>
      </c>
      <c r="H54" t="s">
        <v>72</v>
      </c>
      <c r="I54" t="s">
        <v>147</v>
      </c>
      <c r="N54" t="s">
        <v>72</v>
      </c>
      <c r="O54" t="s">
        <v>72</v>
      </c>
      <c r="T54" t="str">
        <f t="shared" si="0"/>
        <v>tpl:MelColumn(?tag_number_entity, mel:Reference_doc_dwg_PID_etc, ?reference_doc_dwg_pid_etc), tpl:MelColumnDef(mel:Reference_doc_dwg_PID_etc, 49),</v>
      </c>
    </row>
    <row r="55" spans="1:20" x14ac:dyDescent="0.25">
      <c r="A55" t="s">
        <v>103</v>
      </c>
      <c r="B55" s="2" t="s">
        <v>104</v>
      </c>
      <c r="C55">
        <v>52</v>
      </c>
      <c r="D55" t="s">
        <v>43</v>
      </c>
      <c r="E55" t="s">
        <v>189</v>
      </c>
      <c r="G55" t="s">
        <v>14</v>
      </c>
      <c r="H55" t="s">
        <v>72</v>
      </c>
      <c r="I55" t="s">
        <v>148</v>
      </c>
      <c r="N55" t="s">
        <v>72</v>
      </c>
      <c r="O55" t="s">
        <v>72</v>
      </c>
      <c r="T55" t="str">
        <f t="shared" si="0"/>
        <v>tpl:MelColumn(?tag_number_entity, mel:Risk_Weight_accuracy, ?risk_weight_accuracy), tpl:MelColumnDef(mel:Risk_Weight_accuracy, 50),</v>
      </c>
    </row>
    <row r="56" spans="1:20" x14ac:dyDescent="0.25">
      <c r="A56" t="s">
        <v>103</v>
      </c>
      <c r="B56" s="2" t="s">
        <v>104</v>
      </c>
      <c r="C56">
        <v>53</v>
      </c>
      <c r="D56" t="s">
        <v>43</v>
      </c>
      <c r="E56" t="s">
        <v>190</v>
      </c>
      <c r="G56" t="s">
        <v>14</v>
      </c>
      <c r="H56" t="s">
        <v>72</v>
      </c>
      <c r="I56" t="s">
        <v>149</v>
      </c>
      <c r="N56" t="s">
        <v>72</v>
      </c>
      <c r="O56" t="s">
        <v>72</v>
      </c>
      <c r="T56" t="str">
        <f t="shared" si="0"/>
        <v>tpl:MelColumn(?tag_number_entity, mel:Risk_Footprint_accuracy, ?risk_footprint_accuracy), tpl:MelColumnDef(mel:Risk_Footprint_accuracy, 51),</v>
      </c>
    </row>
    <row r="57" spans="1:20" x14ac:dyDescent="0.25">
      <c r="A57" t="s">
        <v>103</v>
      </c>
      <c r="B57" s="2" t="s">
        <v>104</v>
      </c>
      <c r="C57">
        <v>54</v>
      </c>
      <c r="D57" t="s">
        <v>43</v>
      </c>
      <c r="E57" t="s">
        <v>191</v>
      </c>
      <c r="G57" t="s">
        <v>14</v>
      </c>
      <c r="H57" t="s">
        <v>72</v>
      </c>
      <c r="I57" t="s">
        <v>150</v>
      </c>
      <c r="N57" t="s">
        <v>72</v>
      </c>
      <c r="O57" t="s">
        <v>72</v>
      </c>
      <c r="T57" t="str">
        <f t="shared" si="0"/>
        <v>tpl:MelColumn(?tag_number_entity, mel:Risk_Design_basis, ?risk_design_basis), tpl:MelColumnDef(mel:Risk_Design_basis, 52),</v>
      </c>
    </row>
    <row r="58" spans="1:20" x14ac:dyDescent="0.25">
      <c r="A58" t="s">
        <v>103</v>
      </c>
      <c r="B58" s="2" t="s">
        <v>104</v>
      </c>
      <c r="C58">
        <v>55</v>
      </c>
      <c r="D58" t="s">
        <v>43</v>
      </c>
      <c r="E58" t="s">
        <v>192</v>
      </c>
      <c r="G58" t="s">
        <v>14</v>
      </c>
      <c r="H58" t="s">
        <v>72</v>
      </c>
      <c r="I58" t="s">
        <v>151</v>
      </c>
      <c r="N58" t="s">
        <v>72</v>
      </c>
      <c r="O58" t="s">
        <v>72</v>
      </c>
      <c r="T58" t="str">
        <f t="shared" si="0"/>
        <v>tpl:MelColumn(?tag_number_entity, mel:Risk_comments, ?risk_comments), tpl:MelColumnDef(mel:Risk_comments, 53),</v>
      </c>
    </row>
    <row r="59" spans="1:20" x14ac:dyDescent="0.25">
      <c r="A59" t="s">
        <v>103</v>
      </c>
      <c r="B59" s="2" t="s">
        <v>104</v>
      </c>
      <c r="C59">
        <v>56</v>
      </c>
      <c r="D59" t="s">
        <v>43</v>
      </c>
      <c r="E59" t="s">
        <v>193</v>
      </c>
      <c r="G59" t="s">
        <v>14</v>
      </c>
      <c r="H59" t="s">
        <v>72</v>
      </c>
      <c r="I59" t="s">
        <v>152</v>
      </c>
      <c r="N59" t="s">
        <v>72</v>
      </c>
      <c r="O59" t="s">
        <v>72</v>
      </c>
      <c r="T59" t="str">
        <f t="shared" si="0"/>
        <v>tpl:MelColumn(?tag_number_entity, mel:Remarks, ?remarks), tpl:MelColumnDef(mel:Remarks, 54),</v>
      </c>
    </row>
  </sheetData>
  <mergeCells count="2">
    <mergeCell ref="B1:G1"/>
    <mergeCell ref="H1:S1"/>
  </mergeCells>
  <hyperlinks>
    <hyperlink ref="B3" r:id="rId1" xr:uid="{F6049BA7-9943-48E4-9938-A87F043312D4}"/>
    <hyperlink ref="Q13" r:id="rId2" xr:uid="{C94F0486-B37A-476D-A967-3E01B79B0893}"/>
    <hyperlink ref="Q18" r:id="rId3" xr:uid="{9F36459D-BC08-4A8D-A126-D3649B7C453B}"/>
  </hyperlinks>
  <pageMargins left="0.7" right="0.7" top="0.75" bottom="0.75" header="0.3" footer="0.3"/>
  <pageSetup paperSize="9" orientation="portrait" horizontalDpi="360" verticalDpi="360" r:id="rId4"/>
  <headerFooter>
    <oddFooter>&amp;L&amp;1#&amp;"Calibri"&amp;10&amp;K000000Sensitivity: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9CD8-825C-4B21-88FB-F3A8C8D9861E}">
  <dimension ref="A1:S32"/>
  <sheetViews>
    <sheetView workbookViewId="0">
      <selection activeCell="A3" sqref="A3"/>
    </sheetView>
  </sheetViews>
  <sheetFormatPr defaultRowHeight="15" x14ac:dyDescent="0.25"/>
  <cols>
    <col min="1" max="1" width="22.28515625" bestFit="1" customWidth="1"/>
    <col min="2" max="2" width="43.5703125" bestFit="1" customWidth="1"/>
    <col min="3" max="3" width="16" bestFit="1" customWidth="1"/>
    <col min="4" max="4" width="11.85546875" bestFit="1" customWidth="1"/>
    <col min="5" max="5" width="28.42578125" bestFit="1" customWidth="1"/>
    <col min="6" max="6" width="9.5703125" bestFit="1" customWidth="1"/>
    <col min="7" max="7" width="8.7109375" bestFit="1" customWidth="1"/>
    <col min="8" max="8" width="14.28515625" bestFit="1" customWidth="1"/>
    <col min="9" max="9" width="27.7109375" bestFit="1" customWidth="1"/>
    <col min="10" max="10" width="20.28515625" bestFit="1" customWidth="1"/>
    <col min="11" max="11" width="40.7109375" bestFit="1" customWidth="1"/>
    <col min="12" max="12" width="44.5703125" bestFit="1" customWidth="1"/>
    <col min="13" max="13" width="18.28515625" bestFit="1" customWidth="1"/>
    <col min="14" max="14" width="5" bestFit="1" customWidth="1"/>
    <col min="15" max="15" width="20.85546875" customWidth="1"/>
    <col min="16" max="16" width="49.140625" bestFit="1" customWidth="1"/>
    <col min="17" max="17" width="12.42578125" bestFit="1" customWidth="1"/>
    <col min="18" max="18" width="20.5703125" bestFit="1" customWidth="1"/>
    <col min="19" max="19" width="13.140625" bestFit="1" customWidth="1"/>
  </cols>
  <sheetData>
    <row r="1" spans="1:19" x14ac:dyDescent="0.25">
      <c r="A1" s="6"/>
      <c r="B1" s="8" t="s">
        <v>17</v>
      </c>
      <c r="C1" s="8"/>
      <c r="D1" s="8"/>
      <c r="E1" s="8"/>
      <c r="F1" s="8"/>
      <c r="G1" s="8"/>
      <c r="H1" s="9" t="s">
        <v>24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25">
      <c r="A2" s="7" t="s">
        <v>62</v>
      </c>
      <c r="B2" s="3" t="s">
        <v>18</v>
      </c>
      <c r="C2" s="3" t="s">
        <v>19</v>
      </c>
      <c r="D2" s="3" t="s">
        <v>20</v>
      </c>
      <c r="E2" s="3" t="s">
        <v>49</v>
      </c>
      <c r="F2" s="3" t="s">
        <v>12</v>
      </c>
      <c r="G2" s="3" t="s">
        <v>13</v>
      </c>
      <c r="H2" s="4" t="s">
        <v>76</v>
      </c>
      <c r="I2" s="4" t="s">
        <v>50</v>
      </c>
      <c r="J2" s="4" t="s">
        <v>51</v>
      </c>
      <c r="K2" s="4" t="s">
        <v>75</v>
      </c>
      <c r="L2" s="4" t="s">
        <v>21</v>
      </c>
      <c r="M2" s="4" t="s">
        <v>22</v>
      </c>
      <c r="N2" s="4" t="s">
        <v>27</v>
      </c>
      <c r="O2" s="4" t="s">
        <v>23</v>
      </c>
      <c r="P2" s="4" t="s">
        <v>15</v>
      </c>
      <c r="Q2" s="4" t="s">
        <v>53</v>
      </c>
      <c r="R2" s="4" t="s">
        <v>54</v>
      </c>
      <c r="S2" s="4" t="s">
        <v>55</v>
      </c>
    </row>
    <row r="3" spans="1:19" x14ac:dyDescent="0.25">
      <c r="A3" t="s">
        <v>63</v>
      </c>
      <c r="B3" s="2" t="s">
        <v>48</v>
      </c>
      <c r="C3">
        <v>0</v>
      </c>
      <c r="D3" t="s">
        <v>26</v>
      </c>
      <c r="E3" t="s">
        <v>28</v>
      </c>
      <c r="F3" t="s">
        <v>14</v>
      </c>
      <c r="H3" t="s">
        <v>72</v>
      </c>
      <c r="I3" t="s">
        <v>1</v>
      </c>
      <c r="J3" t="s">
        <v>52</v>
      </c>
      <c r="K3" s="5"/>
      <c r="L3" t="s">
        <v>25</v>
      </c>
      <c r="N3" t="s">
        <v>14</v>
      </c>
      <c r="O3" t="s">
        <v>14</v>
      </c>
      <c r="P3" s="5"/>
    </row>
    <row r="4" spans="1:19" x14ac:dyDescent="0.25">
      <c r="A4" t="s">
        <v>63</v>
      </c>
      <c r="B4" s="2" t="s">
        <v>48</v>
      </c>
      <c r="C4">
        <v>1</v>
      </c>
      <c r="D4" t="s">
        <v>43</v>
      </c>
      <c r="E4" t="s">
        <v>29</v>
      </c>
      <c r="H4" t="s">
        <v>72</v>
      </c>
      <c r="I4" t="s">
        <v>1</v>
      </c>
      <c r="K4" s="5"/>
      <c r="N4" t="s">
        <v>14</v>
      </c>
      <c r="P4" s="5"/>
    </row>
    <row r="5" spans="1:19" x14ac:dyDescent="0.25">
      <c r="A5" t="s">
        <v>63</v>
      </c>
      <c r="B5" s="2" t="s">
        <v>48</v>
      </c>
      <c r="C5">
        <v>2</v>
      </c>
      <c r="D5" t="s">
        <v>26</v>
      </c>
      <c r="E5" t="s">
        <v>30</v>
      </c>
      <c r="F5" t="s">
        <v>14</v>
      </c>
      <c r="G5" t="s">
        <v>14</v>
      </c>
      <c r="H5" t="s">
        <v>72</v>
      </c>
      <c r="I5" t="s">
        <v>2</v>
      </c>
      <c r="K5" s="5"/>
      <c r="L5" t="s">
        <v>40</v>
      </c>
      <c r="M5" t="s">
        <v>41</v>
      </c>
      <c r="N5" t="s">
        <v>14</v>
      </c>
      <c r="O5" t="s">
        <v>14</v>
      </c>
      <c r="P5" s="5"/>
    </row>
    <row r="6" spans="1:19" x14ac:dyDescent="0.25">
      <c r="A6" t="s">
        <v>63</v>
      </c>
      <c r="B6" s="2" t="s">
        <v>48</v>
      </c>
      <c r="C6">
        <v>3</v>
      </c>
      <c r="D6" t="s">
        <v>26</v>
      </c>
      <c r="E6" t="s">
        <v>31</v>
      </c>
      <c r="F6" t="s">
        <v>14</v>
      </c>
      <c r="G6" t="s">
        <v>14</v>
      </c>
      <c r="H6" t="s">
        <v>72</v>
      </c>
      <c r="I6" t="s">
        <v>3</v>
      </c>
      <c r="K6" s="5"/>
      <c r="L6" s="2" t="s">
        <v>40</v>
      </c>
      <c r="M6" t="s">
        <v>42</v>
      </c>
      <c r="N6" t="s">
        <v>14</v>
      </c>
      <c r="O6" t="s">
        <v>14</v>
      </c>
      <c r="P6" s="5"/>
    </row>
    <row r="7" spans="1:19" x14ac:dyDescent="0.25">
      <c r="A7" t="s">
        <v>63</v>
      </c>
      <c r="B7" s="2" t="s">
        <v>48</v>
      </c>
      <c r="C7">
        <v>4</v>
      </c>
      <c r="D7" t="s">
        <v>43</v>
      </c>
      <c r="E7" t="s">
        <v>32</v>
      </c>
      <c r="G7" t="s">
        <v>14</v>
      </c>
      <c r="H7" t="s">
        <v>72</v>
      </c>
      <c r="I7" t="s">
        <v>4</v>
      </c>
      <c r="K7" s="5"/>
      <c r="N7" t="s">
        <v>14</v>
      </c>
      <c r="P7" s="5"/>
    </row>
    <row r="8" spans="1:19" x14ac:dyDescent="0.25">
      <c r="A8" t="s">
        <v>63</v>
      </c>
      <c r="B8" s="2" t="s">
        <v>48</v>
      </c>
      <c r="C8">
        <v>5</v>
      </c>
      <c r="D8" t="s">
        <v>26</v>
      </c>
      <c r="E8" t="s">
        <v>33</v>
      </c>
      <c r="F8" t="s">
        <v>14</v>
      </c>
      <c r="G8" t="s">
        <v>14</v>
      </c>
      <c r="H8" t="s">
        <v>72</v>
      </c>
      <c r="I8" t="s">
        <v>5</v>
      </c>
      <c r="K8" s="5"/>
      <c r="L8" t="s">
        <v>25</v>
      </c>
      <c r="N8" t="s">
        <v>14</v>
      </c>
      <c r="O8" t="s">
        <v>14</v>
      </c>
      <c r="P8" s="5"/>
    </row>
    <row r="9" spans="1:19" x14ac:dyDescent="0.25">
      <c r="A9" t="s">
        <v>63</v>
      </c>
      <c r="B9" s="2" t="s">
        <v>48</v>
      </c>
      <c r="C9">
        <v>6</v>
      </c>
      <c r="D9" t="s">
        <v>43</v>
      </c>
      <c r="E9" t="s">
        <v>34</v>
      </c>
      <c r="G9" t="s">
        <v>14</v>
      </c>
      <c r="H9" t="s">
        <v>72</v>
      </c>
      <c r="I9" t="s">
        <v>6</v>
      </c>
      <c r="K9" s="5"/>
      <c r="N9" t="s">
        <v>14</v>
      </c>
      <c r="P9" s="5"/>
    </row>
    <row r="10" spans="1:19" x14ac:dyDescent="0.25">
      <c r="A10" t="s">
        <v>63</v>
      </c>
      <c r="B10" s="2" t="s">
        <v>48</v>
      </c>
      <c r="C10">
        <v>7</v>
      </c>
      <c r="D10" t="s">
        <v>26</v>
      </c>
      <c r="E10" t="s">
        <v>35</v>
      </c>
      <c r="F10" t="s">
        <v>14</v>
      </c>
      <c r="G10" t="s">
        <v>14</v>
      </c>
      <c r="H10" t="s">
        <v>72</v>
      </c>
      <c r="I10" t="s">
        <v>7</v>
      </c>
      <c r="K10" s="5"/>
      <c r="L10" t="s">
        <v>25</v>
      </c>
      <c r="M10" t="s">
        <v>44</v>
      </c>
      <c r="N10" t="s">
        <v>14</v>
      </c>
      <c r="O10" t="s">
        <v>14</v>
      </c>
      <c r="P10" s="5"/>
      <c r="Q10" s="2" t="s">
        <v>56</v>
      </c>
    </row>
    <row r="11" spans="1:19" x14ac:dyDescent="0.25">
      <c r="A11" t="s">
        <v>63</v>
      </c>
      <c r="B11" s="2" t="s">
        <v>48</v>
      </c>
      <c r="C11">
        <v>8</v>
      </c>
      <c r="D11" t="s">
        <v>43</v>
      </c>
      <c r="E11" t="s">
        <v>36</v>
      </c>
      <c r="G11" t="s">
        <v>14</v>
      </c>
      <c r="H11" t="s">
        <v>72</v>
      </c>
      <c r="I11" t="s">
        <v>8</v>
      </c>
      <c r="K11" s="5"/>
      <c r="N11" t="s">
        <v>14</v>
      </c>
      <c r="P11" s="5"/>
    </row>
    <row r="12" spans="1:19" x14ac:dyDescent="0.25">
      <c r="A12" t="s">
        <v>63</v>
      </c>
      <c r="B12" s="2" t="s">
        <v>48</v>
      </c>
      <c r="C12">
        <v>9</v>
      </c>
      <c r="D12" t="s">
        <v>26</v>
      </c>
      <c r="E12" t="s">
        <v>37</v>
      </c>
      <c r="F12" t="s">
        <v>14</v>
      </c>
      <c r="G12" t="s">
        <v>14</v>
      </c>
      <c r="H12" t="s">
        <v>72</v>
      </c>
      <c r="I12" t="s">
        <v>9</v>
      </c>
      <c r="J12" t="s">
        <v>85</v>
      </c>
      <c r="K12" s="5"/>
      <c r="L12" t="s">
        <v>25</v>
      </c>
      <c r="M12" t="s">
        <v>45</v>
      </c>
      <c r="N12" t="s">
        <v>14</v>
      </c>
      <c r="O12" t="s">
        <v>14</v>
      </c>
      <c r="P12" s="5"/>
    </row>
    <row r="13" spans="1:19" x14ac:dyDescent="0.25">
      <c r="A13" t="s">
        <v>63</v>
      </c>
      <c r="B13" s="2" t="s">
        <v>48</v>
      </c>
      <c r="C13">
        <v>10</v>
      </c>
      <c r="D13" t="s">
        <v>26</v>
      </c>
      <c r="E13" t="s">
        <v>38</v>
      </c>
      <c r="F13" t="s">
        <v>14</v>
      </c>
      <c r="G13" t="s">
        <v>14</v>
      </c>
      <c r="H13" t="s">
        <v>72</v>
      </c>
      <c r="I13" t="s">
        <v>10</v>
      </c>
      <c r="J13" t="s">
        <v>86</v>
      </c>
      <c r="K13" s="5"/>
      <c r="L13" t="s">
        <v>25</v>
      </c>
      <c r="M13" t="s">
        <v>46</v>
      </c>
      <c r="N13" t="s">
        <v>14</v>
      </c>
      <c r="O13" t="s">
        <v>14</v>
      </c>
      <c r="P13" s="5"/>
    </row>
    <row r="14" spans="1:19" x14ac:dyDescent="0.25">
      <c r="A14" t="s">
        <v>63</v>
      </c>
      <c r="B14" s="2" t="s">
        <v>48</v>
      </c>
      <c r="C14">
        <v>11</v>
      </c>
      <c r="D14" t="s">
        <v>26</v>
      </c>
      <c r="E14" t="s">
        <v>39</v>
      </c>
      <c r="F14" t="s">
        <v>14</v>
      </c>
      <c r="G14" t="s">
        <v>14</v>
      </c>
      <c r="H14" t="s">
        <v>72</v>
      </c>
      <c r="I14" t="s">
        <v>11</v>
      </c>
      <c r="J14" t="s">
        <v>87</v>
      </c>
      <c r="K14" s="5"/>
      <c r="L14" t="s">
        <v>25</v>
      </c>
      <c r="M14" t="s">
        <v>47</v>
      </c>
      <c r="N14" t="s">
        <v>14</v>
      </c>
      <c r="O14" t="s">
        <v>14</v>
      </c>
      <c r="P14" s="5"/>
      <c r="Q14" s="2" t="s">
        <v>57</v>
      </c>
    </row>
    <row r="15" spans="1:19" x14ac:dyDescent="0.25">
      <c r="A15" t="s">
        <v>64</v>
      </c>
      <c r="B15" s="2" t="s">
        <v>58</v>
      </c>
      <c r="C15">
        <v>0</v>
      </c>
      <c r="D15" t="s">
        <v>26</v>
      </c>
      <c r="E15" t="s">
        <v>28</v>
      </c>
      <c r="F15" t="s">
        <v>14</v>
      </c>
      <c r="H15" t="s">
        <v>72</v>
      </c>
      <c r="I15" t="s">
        <v>1</v>
      </c>
      <c r="J15" t="s">
        <v>52</v>
      </c>
      <c r="K15" s="5"/>
      <c r="L15" t="s">
        <v>25</v>
      </c>
      <c r="N15" t="s">
        <v>14</v>
      </c>
      <c r="O15" t="s">
        <v>14</v>
      </c>
      <c r="P15" s="5"/>
    </row>
    <row r="16" spans="1:19" x14ac:dyDescent="0.25">
      <c r="A16" t="s">
        <v>64</v>
      </c>
      <c r="B16" s="2" t="s">
        <v>58</v>
      </c>
      <c r="C16">
        <v>1</v>
      </c>
      <c r="D16" t="s">
        <v>59</v>
      </c>
      <c r="E16" t="s">
        <v>60</v>
      </c>
      <c r="H16" t="s">
        <v>72</v>
      </c>
      <c r="I16" t="s">
        <v>61</v>
      </c>
      <c r="J16" t="s">
        <v>61</v>
      </c>
      <c r="K16" s="5" t="s">
        <v>77</v>
      </c>
      <c r="N16" t="s">
        <v>14</v>
      </c>
      <c r="P16" s="5" t="s">
        <v>67</v>
      </c>
    </row>
    <row r="17" spans="1:17" x14ac:dyDescent="0.25">
      <c r="A17" t="s">
        <v>65</v>
      </c>
      <c r="B17" s="2" t="s">
        <v>58</v>
      </c>
      <c r="C17">
        <v>0</v>
      </c>
      <c r="D17" t="s">
        <v>26</v>
      </c>
      <c r="E17" t="s">
        <v>28</v>
      </c>
      <c r="F17" t="s">
        <v>14</v>
      </c>
      <c r="H17" t="s">
        <v>72</v>
      </c>
      <c r="I17" t="s">
        <v>1</v>
      </c>
      <c r="J17" t="s">
        <v>52</v>
      </c>
      <c r="K17" s="5"/>
      <c r="L17" t="s">
        <v>25</v>
      </c>
      <c r="N17" t="s">
        <v>14</v>
      </c>
      <c r="O17" t="s">
        <v>14</v>
      </c>
      <c r="P17" s="5"/>
    </row>
    <row r="18" spans="1:17" x14ac:dyDescent="0.25">
      <c r="A18" t="s">
        <v>65</v>
      </c>
      <c r="B18" s="2" t="s">
        <v>58</v>
      </c>
      <c r="C18">
        <v>1</v>
      </c>
      <c r="D18" t="s">
        <v>59</v>
      </c>
      <c r="E18" t="s">
        <v>60</v>
      </c>
      <c r="H18" t="s">
        <v>72</v>
      </c>
      <c r="I18" t="s">
        <v>61</v>
      </c>
      <c r="J18" t="s">
        <v>61</v>
      </c>
      <c r="K18" s="5" t="s">
        <v>78</v>
      </c>
      <c r="N18" t="s">
        <v>14</v>
      </c>
      <c r="P18" s="5" t="s">
        <v>66</v>
      </c>
    </row>
    <row r="19" spans="1:17" x14ac:dyDescent="0.25">
      <c r="A19" t="s">
        <v>68</v>
      </c>
      <c r="B19" s="2" t="s">
        <v>69</v>
      </c>
      <c r="C19">
        <v>0</v>
      </c>
      <c r="D19" t="s">
        <v>26</v>
      </c>
      <c r="E19" t="s">
        <v>70</v>
      </c>
      <c r="F19" t="s">
        <v>14</v>
      </c>
      <c r="G19" t="s">
        <v>72</v>
      </c>
      <c r="H19" t="s">
        <v>14</v>
      </c>
      <c r="I19" t="s">
        <v>3</v>
      </c>
      <c r="J19" t="s">
        <v>73</v>
      </c>
      <c r="K19" s="5"/>
      <c r="L19" s="2" t="s">
        <v>40</v>
      </c>
      <c r="M19" t="s">
        <v>42</v>
      </c>
      <c r="N19" t="s">
        <v>14</v>
      </c>
      <c r="O19" t="s">
        <v>14</v>
      </c>
      <c r="P19" s="5"/>
    </row>
    <row r="20" spans="1:17" x14ac:dyDescent="0.25">
      <c r="A20" t="s">
        <v>68</v>
      </c>
      <c r="B20" s="2" t="s">
        <v>69</v>
      </c>
      <c r="C20">
        <v>1</v>
      </c>
      <c r="D20" t="s">
        <v>43</v>
      </c>
      <c r="E20" t="s">
        <v>79</v>
      </c>
      <c r="G20" t="s">
        <v>72</v>
      </c>
      <c r="H20" t="s">
        <v>14</v>
      </c>
      <c r="I20" t="s">
        <v>3</v>
      </c>
      <c r="J20" t="s">
        <v>80</v>
      </c>
      <c r="K20" s="5" t="s">
        <v>81</v>
      </c>
      <c r="L20" s="2"/>
      <c r="P20" s="5"/>
    </row>
    <row r="21" spans="1:17" x14ac:dyDescent="0.25">
      <c r="A21" t="s">
        <v>68</v>
      </c>
      <c r="B21" s="2" t="s">
        <v>69</v>
      </c>
      <c r="C21">
        <v>2</v>
      </c>
      <c r="D21" t="s">
        <v>43</v>
      </c>
      <c r="E21" t="s">
        <v>71</v>
      </c>
      <c r="G21" t="s">
        <v>72</v>
      </c>
      <c r="H21" t="s">
        <v>14</v>
      </c>
      <c r="I21" t="s">
        <v>3</v>
      </c>
      <c r="J21" t="s">
        <v>74</v>
      </c>
      <c r="N21" t="s">
        <v>14</v>
      </c>
    </row>
    <row r="22" spans="1:17" x14ac:dyDescent="0.25">
      <c r="A22" t="s">
        <v>82</v>
      </c>
      <c r="B22" s="2" t="s">
        <v>83</v>
      </c>
      <c r="C22">
        <v>0</v>
      </c>
      <c r="D22" t="s">
        <v>26</v>
      </c>
      <c r="E22" t="s">
        <v>84</v>
      </c>
      <c r="F22" t="s">
        <v>14</v>
      </c>
      <c r="G22" t="s">
        <v>72</v>
      </c>
      <c r="H22" t="s">
        <v>14</v>
      </c>
      <c r="I22" t="s">
        <v>9</v>
      </c>
      <c r="J22" t="s">
        <v>85</v>
      </c>
      <c r="K22" s="5"/>
      <c r="L22" t="s">
        <v>25</v>
      </c>
      <c r="M22" t="s">
        <v>45</v>
      </c>
      <c r="N22" t="s">
        <v>14</v>
      </c>
      <c r="O22" t="s">
        <v>14</v>
      </c>
      <c r="P22" s="5"/>
    </row>
    <row r="23" spans="1:17" x14ac:dyDescent="0.25">
      <c r="A23" t="s">
        <v>82</v>
      </c>
      <c r="B23" s="2" t="s">
        <v>83</v>
      </c>
      <c r="C23">
        <v>1</v>
      </c>
      <c r="D23" t="s">
        <v>43</v>
      </c>
      <c r="E23" t="s">
        <v>79</v>
      </c>
      <c r="G23" t="s">
        <v>72</v>
      </c>
      <c r="H23" t="s">
        <v>14</v>
      </c>
      <c r="I23" t="s">
        <v>9</v>
      </c>
      <c r="J23" t="s">
        <v>80</v>
      </c>
      <c r="K23" s="5" t="s">
        <v>89</v>
      </c>
      <c r="L23" s="2"/>
      <c r="N23" t="s">
        <v>14</v>
      </c>
      <c r="P23" s="5"/>
    </row>
    <row r="24" spans="1:17" x14ac:dyDescent="0.25">
      <c r="A24" t="s">
        <v>82</v>
      </c>
      <c r="B24" s="2" t="s">
        <v>83</v>
      </c>
      <c r="C24">
        <v>2</v>
      </c>
      <c r="D24" t="s">
        <v>43</v>
      </c>
      <c r="E24" t="s">
        <v>90</v>
      </c>
      <c r="G24" t="s">
        <v>72</v>
      </c>
      <c r="H24" t="s">
        <v>14</v>
      </c>
      <c r="I24" t="s">
        <v>9</v>
      </c>
      <c r="J24" t="s">
        <v>88</v>
      </c>
      <c r="N24" t="s">
        <v>14</v>
      </c>
    </row>
    <row r="25" spans="1:17" x14ac:dyDescent="0.25">
      <c r="A25" t="s">
        <v>91</v>
      </c>
      <c r="B25" s="2" t="s">
        <v>92</v>
      </c>
      <c r="C25">
        <v>0</v>
      </c>
      <c r="D25" t="s">
        <v>26</v>
      </c>
      <c r="E25" t="s">
        <v>38</v>
      </c>
      <c r="F25" t="s">
        <v>14</v>
      </c>
      <c r="G25" t="s">
        <v>72</v>
      </c>
      <c r="H25" t="s">
        <v>14</v>
      </c>
      <c r="I25" t="s">
        <v>10</v>
      </c>
      <c r="J25" t="s">
        <v>86</v>
      </c>
      <c r="K25" s="5"/>
      <c r="L25" t="s">
        <v>25</v>
      </c>
      <c r="M25" t="s">
        <v>46</v>
      </c>
      <c r="N25" t="s">
        <v>14</v>
      </c>
      <c r="O25" t="s">
        <v>14</v>
      </c>
      <c r="P25" s="5"/>
    </row>
    <row r="26" spans="1:17" x14ac:dyDescent="0.25">
      <c r="A26" t="s">
        <v>91</v>
      </c>
      <c r="B26" s="2" t="s">
        <v>92</v>
      </c>
      <c r="C26">
        <v>1</v>
      </c>
      <c r="D26" t="s">
        <v>43</v>
      </c>
      <c r="E26" t="s">
        <v>79</v>
      </c>
      <c r="G26" t="s">
        <v>72</v>
      </c>
      <c r="H26" t="s">
        <v>14</v>
      </c>
      <c r="I26" t="s">
        <v>10</v>
      </c>
      <c r="J26" t="s">
        <v>80</v>
      </c>
      <c r="K26" s="5" t="s">
        <v>99</v>
      </c>
      <c r="L26" s="2"/>
      <c r="N26" t="s">
        <v>14</v>
      </c>
      <c r="P26" s="5"/>
    </row>
    <row r="27" spans="1:17" x14ac:dyDescent="0.25">
      <c r="A27" t="s">
        <v>91</v>
      </c>
      <c r="B27" s="2" t="s">
        <v>92</v>
      </c>
      <c r="C27">
        <v>2</v>
      </c>
      <c r="D27" t="s">
        <v>43</v>
      </c>
      <c r="E27" t="s">
        <v>93</v>
      </c>
      <c r="G27" t="s">
        <v>72</v>
      </c>
      <c r="H27" t="s">
        <v>14</v>
      </c>
      <c r="I27" t="s">
        <v>10</v>
      </c>
      <c r="J27" t="s">
        <v>94</v>
      </c>
      <c r="N27" t="s">
        <v>14</v>
      </c>
    </row>
    <row r="28" spans="1:17" x14ac:dyDescent="0.25">
      <c r="A28" t="s">
        <v>95</v>
      </c>
      <c r="B28" s="2" t="s">
        <v>96</v>
      </c>
      <c r="C28">
        <v>0</v>
      </c>
      <c r="D28" t="s">
        <v>26</v>
      </c>
      <c r="E28" t="s">
        <v>39</v>
      </c>
      <c r="F28" t="s">
        <v>14</v>
      </c>
      <c r="G28" t="s">
        <v>72</v>
      </c>
      <c r="H28" t="s">
        <v>14</v>
      </c>
      <c r="I28" t="s">
        <v>11</v>
      </c>
      <c r="J28" t="s">
        <v>87</v>
      </c>
      <c r="K28" s="5"/>
      <c r="L28" t="s">
        <v>25</v>
      </c>
      <c r="M28" t="s">
        <v>47</v>
      </c>
      <c r="N28" t="s">
        <v>14</v>
      </c>
      <c r="O28" t="s">
        <v>14</v>
      </c>
      <c r="P28" s="5"/>
      <c r="Q28" s="2" t="s">
        <v>57</v>
      </c>
    </row>
    <row r="29" spans="1:17" x14ac:dyDescent="0.25">
      <c r="A29" t="s">
        <v>95</v>
      </c>
      <c r="B29" s="2" t="s">
        <v>96</v>
      </c>
      <c r="C29">
        <v>1</v>
      </c>
      <c r="D29" t="s">
        <v>43</v>
      </c>
      <c r="E29" t="s">
        <v>79</v>
      </c>
      <c r="G29" t="s">
        <v>72</v>
      </c>
      <c r="H29" t="s">
        <v>14</v>
      </c>
      <c r="I29" t="s">
        <v>11</v>
      </c>
      <c r="J29" t="s">
        <v>80</v>
      </c>
      <c r="K29" s="5" t="s">
        <v>100</v>
      </c>
      <c r="L29" s="2"/>
      <c r="N29" t="s">
        <v>14</v>
      </c>
      <c r="P29" s="5"/>
    </row>
    <row r="30" spans="1:17" x14ac:dyDescent="0.25">
      <c r="A30" t="s">
        <v>95</v>
      </c>
      <c r="B30" s="2" t="s">
        <v>96</v>
      </c>
      <c r="C30">
        <v>2</v>
      </c>
      <c r="D30" t="s">
        <v>43</v>
      </c>
      <c r="E30" t="s">
        <v>97</v>
      </c>
      <c r="G30" t="s">
        <v>72</v>
      </c>
      <c r="H30" t="s">
        <v>14</v>
      </c>
      <c r="I30" t="s">
        <v>11</v>
      </c>
      <c r="J30" t="s">
        <v>98</v>
      </c>
      <c r="N30" t="s">
        <v>14</v>
      </c>
    </row>
    <row r="31" spans="1:17" x14ac:dyDescent="0.25">
      <c r="A31" t="s">
        <v>101</v>
      </c>
      <c r="B31" s="2" t="s">
        <v>102</v>
      </c>
      <c r="C31">
        <v>0</v>
      </c>
      <c r="D31" t="s">
        <v>26</v>
      </c>
      <c r="E31" t="s">
        <v>37</v>
      </c>
      <c r="F31" t="s">
        <v>14</v>
      </c>
      <c r="G31" t="s">
        <v>72</v>
      </c>
      <c r="H31" t="s">
        <v>14</v>
      </c>
      <c r="I31" t="s">
        <v>9</v>
      </c>
      <c r="J31" t="s">
        <v>85</v>
      </c>
      <c r="K31" s="5"/>
      <c r="L31" t="s">
        <v>25</v>
      </c>
      <c r="M31" t="s">
        <v>45</v>
      </c>
      <c r="N31" t="s">
        <v>14</v>
      </c>
      <c r="O31" t="s">
        <v>14</v>
      </c>
      <c r="P31" s="5"/>
    </row>
    <row r="32" spans="1:17" x14ac:dyDescent="0.25">
      <c r="A32" t="s">
        <v>101</v>
      </c>
      <c r="B32" s="2" t="s">
        <v>102</v>
      </c>
      <c r="C32">
        <v>1</v>
      </c>
      <c r="D32" t="s">
        <v>26</v>
      </c>
      <c r="E32" t="s">
        <v>38</v>
      </c>
      <c r="F32" t="s">
        <v>14</v>
      </c>
      <c r="G32" t="s">
        <v>72</v>
      </c>
      <c r="H32" t="s">
        <v>14</v>
      </c>
      <c r="I32" t="s">
        <v>10</v>
      </c>
      <c r="J32" t="s">
        <v>86</v>
      </c>
      <c r="K32" s="5"/>
      <c r="L32" t="s">
        <v>25</v>
      </c>
      <c r="M32" t="s">
        <v>46</v>
      </c>
      <c r="N32" t="s">
        <v>14</v>
      </c>
      <c r="O32" t="s">
        <v>14</v>
      </c>
      <c r="P32" s="5"/>
    </row>
  </sheetData>
  <mergeCells count="2">
    <mergeCell ref="B1:G1"/>
    <mergeCell ref="H1:S1"/>
  </mergeCells>
  <hyperlinks>
    <hyperlink ref="L6" r:id="rId1" xr:uid="{D4DB2914-A4E2-4615-B5D2-030FD183C8A9}"/>
    <hyperlink ref="B3" r:id="rId2" xr:uid="{7130EDC8-B3B7-4F58-893F-DC21FC2464F1}"/>
    <hyperlink ref="B4:B14" r:id="rId3" display="https://ottr.xyz/lib/eng/mel/TagNumberEntity" xr:uid="{14A08BB1-7658-47FB-9B96-4BF985EC0B21}"/>
    <hyperlink ref="B4" r:id="rId4" xr:uid="{61503207-C02B-424C-B211-78CF20FEFA55}"/>
    <hyperlink ref="Q10" r:id="rId5" xr:uid="{19BE1B60-7D71-4AE8-B2D5-32F95525272F}"/>
    <hyperlink ref="Q14" r:id="rId6" xr:uid="{5327C56A-7F06-4DE1-A19D-5262BDA1B229}"/>
    <hyperlink ref="B15" r:id="rId7" xr:uid="{ACC14624-1CBF-40B9-8507-DAC9BC2F6FE8}"/>
    <hyperlink ref="B16" r:id="rId8" xr:uid="{D79F60B9-52DD-46C6-B5B7-7AFDC70C4203}"/>
    <hyperlink ref="B17" r:id="rId9" xr:uid="{500EF2B3-12FF-45E9-80D2-521A84E65E32}"/>
    <hyperlink ref="B18" r:id="rId10" xr:uid="{2BF3C5FE-9700-40CE-82D3-BB9DAC1BF00A}"/>
    <hyperlink ref="B19" r:id="rId11" xr:uid="{A107BDBD-3FA6-4BE8-BCF2-50D9C4DBE45A}"/>
    <hyperlink ref="L19" r:id="rId12" xr:uid="{D9E600FB-0A5A-4487-945B-D923609998C9}"/>
    <hyperlink ref="B21" r:id="rId13" xr:uid="{19190D19-C0FD-4489-9997-11ED4C54C379}"/>
    <hyperlink ref="B20" r:id="rId14" xr:uid="{F7751345-8957-44BF-83A2-2E79C111EF2B}"/>
    <hyperlink ref="B22" r:id="rId15" xr:uid="{322AB317-890B-4DB6-9FA6-249FCD0F4971}"/>
    <hyperlink ref="B23" r:id="rId16" xr:uid="{4706D562-1437-4EC1-9BD5-E943D05DFBB3}"/>
    <hyperlink ref="B24" r:id="rId17" xr:uid="{762D2CF5-F4AD-41BA-925C-634F6CCEBEB7}"/>
    <hyperlink ref="B25" r:id="rId18" xr:uid="{D4049171-E0FD-48C6-9E6F-E64EF310518D}"/>
    <hyperlink ref="B26" r:id="rId19" xr:uid="{4547E6C7-C1DE-4B9B-A79A-D8DA36ABD5BA}"/>
    <hyperlink ref="B27" r:id="rId20" xr:uid="{D1EE68AF-7F43-47CC-9259-474368366EDE}"/>
    <hyperlink ref="B28" r:id="rId21" xr:uid="{A32825BE-244D-441A-BD2E-67C9B34DF3ED}"/>
    <hyperlink ref="B29" r:id="rId22" xr:uid="{F2E5C46C-1E87-40B3-88C0-593838D1C66B}"/>
    <hyperlink ref="B30" r:id="rId23" xr:uid="{D353881B-6004-4AC3-AD10-6452E14A8302}"/>
    <hyperlink ref="Q28" r:id="rId24" xr:uid="{B3E74E86-83C5-4096-80D7-06EF38CCCBBB}"/>
    <hyperlink ref="B31" r:id="rId25" xr:uid="{F841D53E-1DE9-4177-9C14-5F1DDB90D701}"/>
    <hyperlink ref="B32" r:id="rId26" xr:uid="{B82E6E43-309C-4FBB-AE70-634F0E25FDA9}"/>
  </hyperlinks>
  <pageMargins left="0.7" right="0.7" top="0.75" bottom="0.75" header="0.3" footer="0.3"/>
  <pageSetup paperSize="9" orientation="portrait" horizontalDpi="360" verticalDpi="360" r:id="rId27"/>
  <headerFooter>
    <oddFooter>&amp;L&amp;1#&amp;"Calibri"&amp;10&amp;K000000Sensitivity: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Arguments</vt:lpstr>
      <vt:lpstr>Arguments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Mahesh Hansen</dc:creator>
  <cp:lastModifiedBy>Christian Mahesh Hansen</cp:lastModifiedBy>
  <dcterms:created xsi:type="dcterms:W3CDTF">2021-06-22T13:11:51Z</dcterms:created>
  <dcterms:modified xsi:type="dcterms:W3CDTF">2021-06-29T20:47:16Z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75afd7-7428-4d0b-a18c-f972d457efaf_Enabled">
    <vt:lpwstr>true</vt:lpwstr>
  </property>
  <property fmtid="{D5CDD505-2E9C-101B-9397-08002B2CF9AE}" pid="3" name="MSIP_Label_e575afd7-7428-4d0b-a18c-f972d457efaf_SetDate">
    <vt:lpwstr>2021-06-29T20:47:16Z</vt:lpwstr>
  </property>
  <property fmtid="{D5CDD505-2E9C-101B-9397-08002B2CF9AE}" pid="4" name="MSIP_Label_e575afd7-7428-4d0b-a18c-f972d457efaf_Method">
    <vt:lpwstr>Standard</vt:lpwstr>
  </property>
  <property fmtid="{D5CDD505-2E9C-101B-9397-08002B2CF9AE}" pid="5" name="MSIP_Label_e575afd7-7428-4d0b-a18c-f972d457efaf_Name">
    <vt:lpwstr>e575afd7-7428-4d0b-a18c-f972d457efaf</vt:lpwstr>
  </property>
  <property fmtid="{D5CDD505-2E9C-101B-9397-08002B2CF9AE}" pid="6" name="MSIP_Label_e575afd7-7428-4d0b-a18c-f972d457efaf_SiteId">
    <vt:lpwstr>306bb27f-a230-403b-a436-2e5cd45b8ec0</vt:lpwstr>
  </property>
  <property fmtid="{D5CDD505-2E9C-101B-9397-08002B2CF9AE}" pid="7" name="MSIP_Label_e575afd7-7428-4d0b-a18c-f972d457efaf_ActionId">
    <vt:lpwstr>e7e0a835-ba97-48e9-9b92-595af1301940</vt:lpwstr>
  </property>
  <property fmtid="{D5CDD505-2E9C-101B-9397-08002B2CF9AE}" pid="8" name="MSIP_Label_e575afd7-7428-4d0b-a18c-f972d457efaf_ContentBits">
    <vt:lpwstr>2</vt:lpwstr>
  </property>
</Properties>
</file>